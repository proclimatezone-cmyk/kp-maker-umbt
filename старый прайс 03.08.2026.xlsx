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muhammadjonaka/Downloads/Telegram Desktop/"/>
    </mc:Choice>
  </mc:AlternateContent>
  <xr:revisionPtr revIDLastSave="0" documentId="13_ncr:1_{6B15C28D-3525-FB45-87F2-71582E31FFBC}" xr6:coauthVersionLast="47" xr6:coauthVersionMax="47" xr10:uidLastSave="{00000000-0000-0000-0000-000000000000}"/>
  <bookViews>
    <workbookView xWindow="0" yWindow="780" windowWidth="34200" windowHeight="21460" tabRatio="822" activeTab="10" xr2:uid="{00000000-000D-0000-FFFF-FFFF00000000}"/>
  </bookViews>
  <sheets>
    <sheet name="汇总表" sheetId="12" state="hidden" r:id="rId1"/>
    <sheet name="V8 " sheetId="19" r:id="rId2"/>
    <sheet name="VRF" sheetId="5" r:id="rId3"/>
    <sheet name="Atom" sheetId="15" r:id="rId4"/>
    <sheet name="Unitary" sheetId="16" r:id="rId5"/>
    <sheet name="FCU-Duct" sheetId="6" r:id="rId6"/>
    <sheet name="FCU-other" sheetId="8" r:id="rId7"/>
    <sheet name="FCUCassette" sheetId="7" r:id="rId8"/>
    <sheet name="DC 2-4-Pipe FCU" sheetId="14" r:id="rId9"/>
    <sheet name="Modular chiller" sheetId="1" r:id="rId10"/>
    <sheet name="Heat Pump" sheetId="10" r:id="rId11"/>
    <sheet name="Rooftop" sheetId="3" r:id="rId12"/>
    <sheet name="OLD V8" sheetId="18" state="hidden" r:id="rId13"/>
  </sheets>
  <definedNames>
    <definedName name="_xlnm._FilterDatabase" localSheetId="1" hidden="1">'V8 '!$A$2:$F$2</definedName>
    <definedName name="_xlnm.Print_Area" localSheetId="9">'Modular chiller'!$A$2:$F$50</definedName>
    <definedName name="_xlnm.Print_Area" localSheetId="11">Rooftop!$A$2:$F$21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" i="14" l="1"/>
  <c r="J48" i="14"/>
  <c r="J47" i="14"/>
  <c r="J46" i="14"/>
  <c r="J45" i="14"/>
  <c r="J44" i="14"/>
  <c r="J33" i="7"/>
  <c r="J32" i="7"/>
  <c r="J31" i="7"/>
  <c r="J30" i="7"/>
  <c r="J29" i="7"/>
  <c r="J28" i="7"/>
  <c r="J25" i="7"/>
  <c r="J24" i="7"/>
  <c r="J23" i="7"/>
  <c r="J22" i="7"/>
  <c r="J15" i="7"/>
  <c r="J14" i="7"/>
  <c r="J13" i="7"/>
  <c r="J12" i="7"/>
  <c r="J11" i="7"/>
  <c r="J10" i="7"/>
  <c r="J6" i="7"/>
  <c r="J5" i="7"/>
  <c r="J4" i="7"/>
  <c r="J3" i="7"/>
  <c r="J26" i="8"/>
  <c r="J25" i="8"/>
  <c r="J24" i="8"/>
  <c r="J23" i="8"/>
  <c r="J22" i="8"/>
  <c r="J21" i="8"/>
  <c r="J39" i="8"/>
  <c r="J38" i="8"/>
  <c r="J37" i="8"/>
  <c r="J36" i="8"/>
  <c r="J35" i="8"/>
  <c r="J34" i="8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84" i="15"/>
  <c r="I83" i="15"/>
  <c r="I82" i="15"/>
  <c r="I81" i="15"/>
  <c r="I80" i="15"/>
  <c r="I79" i="15"/>
  <c r="I78" i="15"/>
  <c r="J108" i="19"/>
  <c r="J107" i="19"/>
  <c r="J106" i="19"/>
  <c r="J105" i="19"/>
  <c r="J104" i="19"/>
  <c r="J103" i="19"/>
  <c r="J102" i="19"/>
  <c r="J101" i="19"/>
  <c r="J100" i="19"/>
  <c r="J99" i="19"/>
  <c r="J98" i="19"/>
  <c r="J97" i="19"/>
  <c r="J186" i="19"/>
  <c r="J185" i="19"/>
  <c r="J184" i="19"/>
  <c r="J183" i="19"/>
  <c r="J182" i="19"/>
  <c r="J181" i="19"/>
  <c r="J180" i="19"/>
  <c r="I74" i="15"/>
  <c r="I75" i="15"/>
  <c r="I76" i="15"/>
  <c r="I77" i="15"/>
  <c r="I73" i="15"/>
  <c r="I55" i="15"/>
  <c r="I54" i="15"/>
  <c r="I53" i="15"/>
  <c r="I51" i="15"/>
  <c r="I50" i="15"/>
  <c r="I48" i="15"/>
  <c r="I47" i="15"/>
  <c r="E467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B433" authorId="0" shapeId="0" xr:uid="{00000000-0006-0000-0000-000001000000}">
      <text>
        <r>
          <rPr>
            <sz val="9"/>
            <rFont val="宋体"/>
            <family val="3"/>
            <charset val="134"/>
          </rPr>
          <t>Packing size(LxHxW): 1070X1900X1030mm</t>
        </r>
      </text>
    </comment>
    <comment ref="B434" authorId="0" shapeId="0" xr:uid="{00000000-0006-0000-0000-000002000000}">
      <text>
        <r>
          <rPr>
            <sz val="9"/>
            <rFont val="宋体"/>
            <family val="3"/>
            <charset val="134"/>
          </rPr>
          <t>Packing size(LxHxW): 2090x1890x1030mm</t>
        </r>
      </text>
    </comment>
    <comment ref="B435" authorId="0" shapeId="0" xr:uid="{00000000-0006-0000-0000-000003000000}">
      <text>
        <r>
          <rPr>
            <sz val="9"/>
            <rFont val="宋体"/>
            <family val="3"/>
            <charset val="134"/>
          </rPr>
          <t xml:space="preserve">Packing size(LxHxW): 2090x1890x1030mm
</t>
        </r>
      </text>
    </comment>
    <comment ref="B436" authorId="0" shapeId="0" xr:uid="{00000000-0006-0000-0000-000004000000}">
      <text>
        <r>
          <rPr>
            <sz val="9"/>
            <rFont val="宋体"/>
            <family val="3"/>
            <charset val="134"/>
          </rPr>
          <t>Packing size(LxHxW): 2250x2200x1180mm</t>
        </r>
      </text>
    </comment>
  </commentList>
</comments>
</file>

<file path=xl/sharedStrings.xml><?xml version="1.0" encoding="utf-8"?>
<sst xmlns="http://schemas.openxmlformats.org/spreadsheetml/2006/main" count="5571" uniqueCount="4086">
  <si>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IDEA</t>
    </r>
  </si>
  <si>
    <r>
      <rPr>
        <sz val="12"/>
        <rFont val="宋体"/>
        <family val="3"/>
        <charset val="134"/>
      </rPr>
      <t>M</t>
    </r>
    <r>
      <rPr>
        <sz val="12"/>
        <rFont val="宋体"/>
        <family val="3"/>
        <charset val="134"/>
      </rPr>
      <t>DV</t>
    </r>
  </si>
  <si>
    <t>CODE</t>
  </si>
  <si>
    <t>PRICE</t>
  </si>
  <si>
    <t>MV6-252WV2GN1</t>
  </si>
  <si>
    <t>MDV6-252WV2GN1</t>
  </si>
  <si>
    <t>22027020001129</t>
  </si>
  <si>
    <t>MV6-280WV2GN1</t>
  </si>
  <si>
    <t>MDV6-280WV2GN1</t>
  </si>
  <si>
    <t>22027020001127</t>
  </si>
  <si>
    <t>MV6-335WV2GN1</t>
  </si>
  <si>
    <t>MDV6-335WV2GN1</t>
  </si>
  <si>
    <t>22027020001128</t>
  </si>
  <si>
    <t>MV6-400WV2GN1</t>
  </si>
  <si>
    <t>MDV6-400WV2GN1</t>
  </si>
  <si>
    <t>22027020001186</t>
  </si>
  <si>
    <t>MV6-450WV2GN1</t>
  </si>
  <si>
    <t>MDV6-450WV2GN1</t>
  </si>
  <si>
    <t>22027020001185</t>
  </si>
  <si>
    <t>MV6-500WV2GN1</t>
  </si>
  <si>
    <t>MDV6-500WV2GN1</t>
  </si>
  <si>
    <t>22027020001145</t>
  </si>
  <si>
    <t>MV6-560WV2GN1</t>
  </si>
  <si>
    <t>MDV6-560WV2GN1</t>
  </si>
  <si>
    <t>22027020001146</t>
  </si>
  <si>
    <t>MV6-615WV2GN1</t>
  </si>
  <si>
    <t>MDV6-615WV2GN1</t>
  </si>
  <si>
    <t>22027020001147</t>
  </si>
  <si>
    <t>MV6-670WV2GN1</t>
  </si>
  <si>
    <t>MDV6-670WV2GN1</t>
  </si>
  <si>
    <t>22027020001148</t>
  </si>
  <si>
    <t>MV6-730WV2GN1</t>
  </si>
  <si>
    <t>MDV6-730WV2GN1</t>
  </si>
  <si>
    <t>22027020001149</t>
  </si>
  <si>
    <t>MV6-785WV2GN1</t>
  </si>
  <si>
    <t>MDV6-785WV2GN1</t>
  </si>
  <si>
    <t>22027020001150</t>
  </si>
  <si>
    <t>MV6-850WV2GN1</t>
  </si>
  <si>
    <t>MDV6-850WV2GN1</t>
  </si>
  <si>
    <t>22027020001125</t>
  </si>
  <si>
    <t>MV6-900WV2GN1</t>
  </si>
  <si>
    <t>MDV6-900WV2GN1</t>
  </si>
  <si>
    <t>22027020001126</t>
  </si>
  <si>
    <t>MV6-i252WV2GN1</t>
  </si>
  <si>
    <t>MDV6-i252WV2GN1</t>
  </si>
  <si>
    <t>22027020001005</t>
  </si>
  <si>
    <t>MV6-i280WV2GN1</t>
  </si>
  <si>
    <t>MDV6-i280WV2GN1</t>
  </si>
  <si>
    <t>22027020001106</t>
  </si>
  <si>
    <t>MV6-i335WV2GN1</t>
  </si>
  <si>
    <t>MDV6-i335WV2GN1</t>
  </si>
  <si>
    <t>22027020001105</t>
  </si>
  <si>
    <t>MV6-i400WV2GN1</t>
  </si>
  <si>
    <t>MDV6-i400WV2GN1</t>
  </si>
  <si>
    <t>22027020000985</t>
  </si>
  <si>
    <t>MV6-i450WV2GN1</t>
  </si>
  <si>
    <t>MDV6-i450WV2GN1</t>
  </si>
  <si>
    <t>22027020000987</t>
  </si>
  <si>
    <t>MV6-i500WV2GN1</t>
  </si>
  <si>
    <t>MDV6-i500WV2GN1</t>
  </si>
  <si>
    <t>22027020000986</t>
  </si>
  <si>
    <t>MV6-i560WV2GN1</t>
  </si>
  <si>
    <t>MDV6-i560WV2GN1</t>
  </si>
  <si>
    <t>22027020001086</t>
  </si>
  <si>
    <t>MV6-i615WV2GN1</t>
  </si>
  <si>
    <t>MDV6-i615WV2GN1</t>
  </si>
  <si>
    <t>22027020001085</t>
  </si>
  <si>
    <t>MV6-i670WV2GN1</t>
  </si>
  <si>
    <t>MDV6-i670WV2GN1</t>
  </si>
  <si>
    <t>22027020001025</t>
  </si>
  <si>
    <t>MV6-i730WV2GN1</t>
  </si>
  <si>
    <t>MDV6-i730WV2GN1</t>
  </si>
  <si>
    <t>22027020001045</t>
  </si>
  <si>
    <t>MV6-i785WV2GN1</t>
  </si>
  <si>
    <t>MDV6-i785WV2GN1</t>
  </si>
  <si>
    <t>22027020001065</t>
  </si>
  <si>
    <t>MV6-i850WV2GN1</t>
  </si>
  <si>
    <t>MDV6-i850WV2GN1</t>
  </si>
  <si>
    <t>22027020001007</t>
  </si>
  <si>
    <t>MV6-i900WV2GN1</t>
  </si>
  <si>
    <t>MDV6-i900WV2GN1</t>
  </si>
  <si>
    <t>22027020001006</t>
  </si>
  <si>
    <t>MV6-R252WV2GN1</t>
  </si>
  <si>
    <t>22027020001825</t>
  </si>
  <si>
    <t>MV6-R280WV2GN1</t>
  </si>
  <si>
    <t>22027020001865</t>
  </si>
  <si>
    <t>MV6-R335WV2GN1</t>
  </si>
  <si>
    <t>22027020001866</t>
  </si>
  <si>
    <t>MV6-R400WV2GN1</t>
  </si>
  <si>
    <t>22027020001885</t>
  </si>
  <si>
    <t>MV6-R450WV2GN1</t>
  </si>
  <si>
    <t>22027020001886</t>
  </si>
  <si>
    <t>MV6-R500WV2GN1</t>
  </si>
  <si>
    <t>22027020001845</t>
  </si>
  <si>
    <t>MV6-R560WV2GN1</t>
  </si>
  <si>
    <t>22027020001965</t>
  </si>
  <si>
    <t>MV5-X252W/V2GN1</t>
  </si>
  <si>
    <t>MDV5-X252W/V2GN1</t>
  </si>
  <si>
    <t>22027020000119</t>
  </si>
  <si>
    <t>MV5-X280W/V2GN1</t>
  </si>
  <si>
    <t>MDV5-X280W/V2GN1</t>
  </si>
  <si>
    <t>22027020000064</t>
  </si>
  <si>
    <t>MV5-X335W/V2GN1</t>
  </si>
  <si>
    <t>MDV5-X335W/V2GN1</t>
  </si>
  <si>
    <t>22027020000214</t>
  </si>
  <si>
    <t>MV5-X400W/V2GN1</t>
  </si>
  <si>
    <t>MDV5-X400W/V2GN1</t>
  </si>
  <si>
    <t>22027020000058</t>
  </si>
  <si>
    <t>MV5-X450W/V2GN1</t>
  </si>
  <si>
    <t>MDV5-X450W/V2GN1</t>
  </si>
  <si>
    <t>22027020000025</t>
  </si>
  <si>
    <t>MV5-X500W/V2GN1</t>
  </si>
  <si>
    <t>MDV5-X500W/V2GN1</t>
  </si>
  <si>
    <t>22027020000055</t>
  </si>
  <si>
    <t>MV5-X560W/V2GN1</t>
  </si>
  <si>
    <t>MDV5-X560W/V2GN1</t>
  </si>
  <si>
    <t>22027020000127</t>
  </si>
  <si>
    <t>MV5-X615W/V2GN1</t>
  </si>
  <si>
    <t>MDV5-X615W/V2GN1</t>
  </si>
  <si>
    <t>22027020000037</t>
  </si>
  <si>
    <t>MDVS-252(8)W/DRN1</t>
  </si>
  <si>
    <t>22027020000241</t>
  </si>
  <si>
    <t>MDVS-280(10)W/DRN1</t>
  </si>
  <si>
    <t>22027020000228</t>
  </si>
  <si>
    <t>MDVS-335(12)W/DRN1</t>
  </si>
  <si>
    <t>22027020000067</t>
  </si>
  <si>
    <t>MDV-V200W/DRN1</t>
  </si>
  <si>
    <t>22027020000260</t>
  </si>
  <si>
    <t>MDV-V224W/DRN1</t>
  </si>
  <si>
    <t>22027020000295</t>
  </si>
  <si>
    <t>MDV-V260W/DRN1</t>
  </si>
  <si>
    <t>22027020000277</t>
  </si>
  <si>
    <t>MDVT-V280W/DGN1</t>
  </si>
  <si>
    <t>MDV-V280W/DRN1-i</t>
  </si>
  <si>
    <t>22027020001586</t>
  </si>
  <si>
    <t>MDVT-V335W/DGN1</t>
  </si>
  <si>
    <t>MDV-V335W/DRN1-i</t>
  </si>
  <si>
    <t>22027020001585</t>
  </si>
  <si>
    <t>MDV-V400W/DRN1</t>
  </si>
  <si>
    <t>MDV-V400W/DRN1-i</t>
  </si>
  <si>
    <t>22027020000287</t>
  </si>
  <si>
    <t>MDV-V450W/DRN1</t>
  </si>
  <si>
    <t>MDV-V450W/DRN1-i</t>
  </si>
  <si>
    <t>22027020000138</t>
  </si>
  <si>
    <t>MDV-252(8)W/D2RN1T(C)</t>
  </si>
  <si>
    <t>MDV-252W/D2RN1T</t>
  </si>
  <si>
    <t>22027020000116</t>
  </si>
  <si>
    <t>MDV-280(10)W/D2RN1T(C) </t>
  </si>
  <si>
    <t>MDV-280W/D2RN1T</t>
  </si>
  <si>
    <t>22027020000173</t>
  </si>
  <si>
    <t>MDV-335(12)W/D2RN1T(C) </t>
  </si>
  <si>
    <t>MDV-335W/D2RN1T</t>
  </si>
  <si>
    <t>22027020000049</t>
  </si>
  <si>
    <t>MDV-400(14)W/D2RN1T(C) </t>
  </si>
  <si>
    <t>MDV-400W/D2RN1T</t>
  </si>
  <si>
    <t>22027020000226</t>
  </si>
  <si>
    <t>MDV-450(16)W/D2RN1T(C) </t>
  </si>
  <si>
    <t>MDV-450W/D2RN1T</t>
  </si>
  <si>
    <t>22027020000181</t>
  </si>
  <si>
    <t>MDVMS01/N1-C</t>
  </si>
  <si>
    <t>22010200000012</t>
  </si>
  <si>
    <t>MDVMS02/N1-C</t>
  </si>
  <si>
    <t>22010200000003</t>
  </si>
  <si>
    <t>MDVMS04/N1-C </t>
  </si>
  <si>
    <t>MDVMS04/N1-C</t>
  </si>
  <si>
    <t>22010200000013</t>
  </si>
  <si>
    <t>MDVMS06/N1-C</t>
  </si>
  <si>
    <t>22010200000010</t>
  </si>
  <si>
    <t>MS02E/N1-C</t>
  </si>
  <si>
    <t>借用22010200000003定制</t>
  </si>
  <si>
    <t>MS04E/N1-C</t>
  </si>
  <si>
    <t>借用22010200000013定制</t>
  </si>
  <si>
    <t>MDV-V80W/DN1</t>
  </si>
  <si>
    <t>22027020000109</t>
  </si>
  <si>
    <t>MDV-V105W/DN1</t>
  </si>
  <si>
    <t>22027020000269</t>
  </si>
  <si>
    <t>MDV-V120W/DN1</t>
  </si>
  <si>
    <t>22027020000275</t>
  </si>
  <si>
    <t>MDV-V140W/DN1</t>
  </si>
  <si>
    <t>22027020000135</t>
  </si>
  <si>
    <t>MDV-V160W/DN1(B)</t>
  </si>
  <si>
    <t>22027020000136</t>
  </si>
  <si>
    <t>MDV-V120W/DRN1</t>
  </si>
  <si>
    <t>22027020000286</t>
  </si>
  <si>
    <t>MDV-V140W/DRN1</t>
  </si>
  <si>
    <t>22027020000270</t>
  </si>
  <si>
    <t>MDV-V160W/DRN1</t>
  </si>
  <si>
    <t>22027020000137</t>
  </si>
  <si>
    <t>MDV-V180W/DRN1</t>
  </si>
  <si>
    <t>借用22027020000137定制 L201612300001</t>
  </si>
  <si>
    <t>MDV-120W/DON1</t>
  </si>
  <si>
    <t>22027020000177</t>
  </si>
  <si>
    <t>MDV-140W/DON1</t>
  </si>
  <si>
    <t>22027020000154</t>
  </si>
  <si>
    <t>MDV-160W/DON1</t>
  </si>
  <si>
    <t>22027020000020</t>
  </si>
  <si>
    <t>MDV-120W/DGN1</t>
  </si>
  <si>
    <t>22027020000259</t>
  </si>
  <si>
    <t>MDV-140W/DGN1</t>
  </si>
  <si>
    <t>22027020000107</t>
  </si>
  <si>
    <t>MDV-160W/DGN1</t>
  </si>
  <si>
    <t>22027020000108</t>
  </si>
  <si>
    <t>MI2-18Q1DHN1</t>
  </si>
  <si>
    <t>MDI2-18Q1DHN1</t>
  </si>
  <si>
    <t>22026012000534</t>
  </si>
  <si>
    <t>MI2-22Q1DHN1</t>
  </si>
  <si>
    <t>MDI2-22Q1DHN1</t>
  </si>
  <si>
    <t>22026012000535</t>
  </si>
  <si>
    <t>MI2-28Q1DHN1</t>
  </si>
  <si>
    <t>MDI2-28Q1DHN1</t>
  </si>
  <si>
    <t>22026012000536</t>
  </si>
  <si>
    <t>MI2-36Q1DHN1</t>
  </si>
  <si>
    <t>MDI2-36Q1DHN1</t>
  </si>
  <si>
    <t>22026012000537</t>
  </si>
  <si>
    <t>MI2-45Q1DHN1</t>
  </si>
  <si>
    <t>MDI2-45Q1DHN1</t>
  </si>
  <si>
    <t>22026012000538</t>
  </si>
  <si>
    <t>MI2-56Q1DHN1</t>
  </si>
  <si>
    <t>MDI2-56Q1DHN1</t>
  </si>
  <si>
    <t>22026012000539</t>
  </si>
  <si>
    <t>MI2-71Q1DHN1</t>
  </si>
  <si>
    <t>MDI2-71Q1DHN1</t>
  </si>
  <si>
    <t>22026012000540</t>
  </si>
  <si>
    <t>MI2-22Q2DHN1</t>
  </si>
  <si>
    <t>MDI2-22Q2DHN1</t>
  </si>
  <si>
    <t>22026012000618</t>
  </si>
  <si>
    <t>MI2-28Q2DHN1</t>
  </si>
  <si>
    <t>MDI2-28Q2DHN1</t>
  </si>
  <si>
    <t>22026012000616</t>
  </si>
  <si>
    <t>MI2-36Q2DHN1</t>
  </si>
  <si>
    <t>MDI2-36Q2DHN1</t>
  </si>
  <si>
    <t>22026012000614</t>
  </si>
  <si>
    <t>MI2-45Q2DHN1</t>
  </si>
  <si>
    <t>MDI2-45Q2DHN1</t>
  </si>
  <si>
    <t>22026012000615</t>
  </si>
  <si>
    <t>MI2-56Q2DHN1</t>
  </si>
  <si>
    <t>MDI2-56Q2DHN1</t>
  </si>
  <si>
    <t>22026012000617</t>
  </si>
  <si>
    <t>MI2-71Q2DHN1</t>
  </si>
  <si>
    <t>MDI2-71Q2DHN1</t>
  </si>
  <si>
    <t>22026012000619</t>
  </si>
  <si>
    <t>MI2-22Q4CDHN1</t>
  </si>
  <si>
    <t>MDI2-22Q4CDHN1</t>
  </si>
  <si>
    <t>22026012000598</t>
  </si>
  <si>
    <t>MI2-28Q4CDHN1</t>
  </si>
  <si>
    <t>MDI2-28Q4CDHN1</t>
  </si>
  <si>
    <t>22026012000599</t>
  </si>
  <si>
    <t>MI2-36Q4CDHN1</t>
  </si>
  <si>
    <t>MDI2-36Q4CDHN1</t>
  </si>
  <si>
    <t>22026012000600</t>
  </si>
  <si>
    <t>MI2-45Q4CDHN1</t>
  </si>
  <si>
    <t>MDI2-45Q4CDHN1</t>
  </si>
  <si>
    <t>22026012000601</t>
  </si>
  <si>
    <t>MI2-28Q4DHN1</t>
  </si>
  <si>
    <t>MDI2-28Q4DHN1</t>
  </si>
  <si>
    <t>22026012000691</t>
  </si>
  <si>
    <t>MI2-36Q4DHN1</t>
  </si>
  <si>
    <t>MDI2-36Q4DHN1</t>
  </si>
  <si>
    <t>22026012000689</t>
  </si>
  <si>
    <t>MI2-45Q4DHN1</t>
  </si>
  <si>
    <t>MDI2-45Q4DHN1</t>
  </si>
  <si>
    <t>22026012000690</t>
  </si>
  <si>
    <t>MI2-56Q4DHN1</t>
  </si>
  <si>
    <t>MDI2-56Q4DHN1</t>
  </si>
  <si>
    <t>22026012000688</t>
  </si>
  <si>
    <t>MI2-71Q4DHN1</t>
  </si>
  <si>
    <t>MDI2-71Q4DHN1</t>
  </si>
  <si>
    <t>22026012000687</t>
  </si>
  <si>
    <t>MI2-80Q4DHN1</t>
  </si>
  <si>
    <t>MDI2-80Q4DHN1</t>
  </si>
  <si>
    <t>22026012000686</t>
  </si>
  <si>
    <t>MI2-90Q4DHN1</t>
  </si>
  <si>
    <t>MDI2-90Q4DHN1</t>
  </si>
  <si>
    <t>22026012000685</t>
  </si>
  <si>
    <t>MI2-100Q4DHN1</t>
  </si>
  <si>
    <t>MDI2-100Q4DHN1</t>
  </si>
  <si>
    <t>22026012000684</t>
  </si>
  <si>
    <t>MI2-112Q4DHN1</t>
  </si>
  <si>
    <t>MDI2-112Q4DHN1</t>
  </si>
  <si>
    <t>22026012000683</t>
  </si>
  <si>
    <t>MI2-140Q4DHN1</t>
  </si>
  <si>
    <t>MDI2-140Q4DHN1</t>
  </si>
  <si>
    <t>22026012000682</t>
  </si>
  <si>
    <t>T-MBQ4-01E</t>
  </si>
  <si>
    <t>MDV-MBQ4-01E</t>
  </si>
  <si>
    <t>22012900002830</t>
  </si>
  <si>
    <t>MI2-22T2DHN1</t>
  </si>
  <si>
    <t>MDI2-22T2DHN1</t>
  </si>
  <si>
    <t>22026011000943</t>
  </si>
  <si>
    <t>MI2-28T2DHN1</t>
  </si>
  <si>
    <t>MDI2-28T2DHN1</t>
  </si>
  <si>
    <t>22026011000942</t>
  </si>
  <si>
    <t>MI2-36T2DHN1</t>
  </si>
  <si>
    <t>MDI2-36T2DHN1</t>
  </si>
  <si>
    <t>22026011000944</t>
  </si>
  <si>
    <t>MI2-45T2DHN1</t>
  </si>
  <si>
    <t>MDI2-45T2DHN1</t>
  </si>
  <si>
    <t>22026011000945</t>
  </si>
  <si>
    <t>MI2-56T2DHN1</t>
  </si>
  <si>
    <t>MDI2-56T2DHN1</t>
  </si>
  <si>
    <t>22026011000946</t>
  </si>
  <si>
    <t>MI2-71T2DHN1</t>
  </si>
  <si>
    <t>MDI2-71T2DHN1</t>
  </si>
  <si>
    <t>22026011000947</t>
  </si>
  <si>
    <t>MI2-80T2DHN1</t>
  </si>
  <si>
    <t>MDI2-80T2DHN1</t>
  </si>
  <si>
    <t>22026011000939</t>
  </si>
  <si>
    <t>MI2-90T2DHN1</t>
  </si>
  <si>
    <t>MDI2-90T2DHN1</t>
  </si>
  <si>
    <t>22026011000940</t>
  </si>
  <si>
    <t>MI2-112T2DHN1</t>
  </si>
  <si>
    <t>MDI2-112T2DHN1</t>
  </si>
  <si>
    <t>22026011000938</t>
  </si>
  <si>
    <t>MI2-140T2DHN1</t>
  </si>
  <si>
    <t>MDI2-140T2DHN1</t>
  </si>
  <si>
    <t>22026011000941</t>
  </si>
  <si>
    <t>MI2-71T1DHN1</t>
  </si>
  <si>
    <t>MDI2-71T1DHN1</t>
  </si>
  <si>
    <t>22026011000998</t>
  </si>
  <si>
    <t>MI2-80T1DHN1</t>
  </si>
  <si>
    <t>MDI2-80T1DHN1</t>
  </si>
  <si>
    <t>22026011000999</t>
  </si>
  <si>
    <t>MI2-90T1DHN1</t>
  </si>
  <si>
    <t>MDI2-90T1DHN1</t>
  </si>
  <si>
    <t>22026011000899</t>
  </si>
  <si>
    <t>MI2-112T1DHN1</t>
  </si>
  <si>
    <t>MDI2-112T1DHN1</t>
  </si>
  <si>
    <t>22026011000960</t>
  </si>
  <si>
    <t>MI2-140T1DHN1</t>
  </si>
  <si>
    <t>MDI2-140T1DHN1</t>
  </si>
  <si>
    <t>22026011000901</t>
  </si>
  <si>
    <t>MI2-160T1DHN1</t>
  </si>
  <si>
    <t>MDI2-160T1DHN1</t>
  </si>
  <si>
    <t>22026011000902</t>
  </si>
  <si>
    <t>MI2-200T1DHN1</t>
  </si>
  <si>
    <t>MDI2-200T1DHN1</t>
  </si>
  <si>
    <t>22026011000904</t>
  </si>
  <si>
    <t>MI2-250T1DHN1</t>
  </si>
  <si>
    <t>MDI2-250T1DHN1</t>
  </si>
  <si>
    <t>22026011000906</t>
  </si>
  <si>
    <t>MI2-280T1DHN1</t>
  </si>
  <si>
    <t>MDI2-280T1DHN1</t>
  </si>
  <si>
    <t>22026011000905</t>
  </si>
  <si>
    <t>MI2-400T1DHN1</t>
  </si>
  <si>
    <t>MDI2-400T1DHN1</t>
  </si>
  <si>
    <t>22026011001179</t>
  </si>
  <si>
    <t>MI2-450T1DHN1</t>
  </si>
  <si>
    <t>MDI2-450T1DHN1</t>
  </si>
  <si>
    <t>22026011001138</t>
  </si>
  <si>
    <t>MI2-560T1DHN1</t>
  </si>
  <si>
    <t>MDI2-560T1DHN1</t>
  </si>
  <si>
    <t>22026011001038</t>
  </si>
  <si>
    <t>MI2-125FADHN1</t>
  </si>
  <si>
    <t>MDI2-125FADHN1</t>
  </si>
  <si>
    <t>22026021000064</t>
  </si>
  <si>
    <t>MI2-140FADHN1</t>
  </si>
  <si>
    <t>MDI2-140FADHN1</t>
  </si>
  <si>
    <t>22026021000063</t>
  </si>
  <si>
    <t>MI2-200FADHN1</t>
  </si>
  <si>
    <t>MDI2-200FADHN1</t>
  </si>
  <si>
    <t>22026021000065</t>
  </si>
  <si>
    <t>MI2-250FADHN1</t>
  </si>
  <si>
    <t>MDI2-250FADHN1</t>
  </si>
  <si>
    <t>22026021000066</t>
  </si>
  <si>
    <t>MI2-280FADHN1</t>
  </si>
  <si>
    <t>MDI2-280FADHN1</t>
  </si>
  <si>
    <t>22026021000067</t>
  </si>
  <si>
    <t>MI2-450FADHN1</t>
  </si>
  <si>
    <t>MDI2-450FADHN1</t>
  </si>
  <si>
    <t>22026011001139</t>
  </si>
  <si>
    <t xml:space="preserve"> MI2-560FADHN1</t>
  </si>
  <si>
    <t xml:space="preserve"> MDI2-560FADHN1</t>
  </si>
  <si>
    <t>22026021000123</t>
  </si>
  <si>
    <t>MI2-22GDHN1</t>
  </si>
  <si>
    <t>MDI2-22GDHN1</t>
  </si>
  <si>
    <t>22026010000364</t>
  </si>
  <si>
    <t>MI2-28GDHN1</t>
  </si>
  <si>
    <t>MDI2-28GDHN1</t>
  </si>
  <si>
    <t>22026010000363</t>
  </si>
  <si>
    <t>MI2-36GDHN1</t>
  </si>
  <si>
    <t>MDI2-36GDHN1</t>
  </si>
  <si>
    <t>22026010000365</t>
  </si>
  <si>
    <t>MI2-45GDHN1</t>
  </si>
  <si>
    <t>MDI2-45GDHN1</t>
  </si>
  <si>
    <t>22026010000359</t>
  </si>
  <si>
    <t>MI2-56GDHN1</t>
  </si>
  <si>
    <t>MDI2-56GDHN1</t>
  </si>
  <si>
    <t>22026010000360</t>
  </si>
  <si>
    <t>MI2-71GDHN1</t>
  </si>
  <si>
    <t>MDI2-71GDHN1</t>
  </si>
  <si>
    <t>22026010000361</t>
  </si>
  <si>
    <t>MI2-80GDHN1</t>
  </si>
  <si>
    <t>MDI2-80GDHN1</t>
  </si>
  <si>
    <t>22026010000362</t>
  </si>
  <si>
    <t>MI2-90GDHN1</t>
  </si>
  <si>
    <t>MDI2-90GDHN1</t>
  </si>
  <si>
    <t>22026010000379</t>
  </si>
  <si>
    <t>MI2-36DLDHN1</t>
  </si>
  <si>
    <t>MDI2-36DLDHN1</t>
  </si>
  <si>
    <t>22026013000310</t>
  </si>
  <si>
    <t>MI2-45DLDHN1</t>
  </si>
  <si>
    <t>MDI2-45DLDHN1</t>
  </si>
  <si>
    <t>22026013000317</t>
  </si>
  <si>
    <t>MI2-56DLDHN1</t>
  </si>
  <si>
    <t>MDI2-56DLDHN1</t>
  </si>
  <si>
    <t>22026013000316</t>
  </si>
  <si>
    <t>MI2-71DLDHN1</t>
  </si>
  <si>
    <t>MDI2-71DLDHN1</t>
  </si>
  <si>
    <t>22026013000315</t>
  </si>
  <si>
    <t>MI2-80DLDHN1</t>
  </si>
  <si>
    <t>MDI2-80DLDHN1</t>
  </si>
  <si>
    <t>22026013000314</t>
  </si>
  <si>
    <t>MI2-90DLDHN1</t>
  </si>
  <si>
    <t>MDI2-90DLDHN1</t>
  </si>
  <si>
    <t>22026013000313</t>
  </si>
  <si>
    <t>MI2-112DLDHN1</t>
  </si>
  <si>
    <t>MDI2-112DLDHN1</t>
  </si>
  <si>
    <t>22026013000312</t>
  </si>
  <si>
    <t>MI2-140DLDHN1</t>
  </si>
  <si>
    <t>MDI2-140DLDHN1</t>
  </si>
  <si>
    <t>22026013000311</t>
  </si>
  <si>
    <t>MI2-22F3DHN1</t>
  </si>
  <si>
    <t>MDI2-22F3DHN1</t>
  </si>
  <si>
    <t>22026014000185</t>
  </si>
  <si>
    <t>MI2-28F3DHN1</t>
  </si>
  <si>
    <t>MDI2-28F3DHN1</t>
  </si>
  <si>
    <t>22026014000186</t>
  </si>
  <si>
    <t>MI2-36F3DHN1</t>
  </si>
  <si>
    <t>MDI2-36F3DHN1</t>
  </si>
  <si>
    <t>22026014000189</t>
  </si>
  <si>
    <t>MI2-45F3DHN1</t>
  </si>
  <si>
    <t>MDI2-45F3DHN1</t>
  </si>
  <si>
    <t>22026014000194</t>
  </si>
  <si>
    <t>MI2-56F3DHN1</t>
  </si>
  <si>
    <t>MDI2-56F3DHN1</t>
  </si>
  <si>
    <t>22026014000195</t>
  </si>
  <si>
    <t>MI2-71F3DHN1</t>
  </si>
  <si>
    <t>MDI2-71F3DHN1</t>
  </si>
  <si>
    <t>22026014000196</t>
  </si>
  <si>
    <t>MI2-80F3DHN1</t>
  </si>
  <si>
    <t>MDI2-80F3DHN1</t>
  </si>
  <si>
    <t>22026014000200</t>
  </si>
  <si>
    <t>MI2-22F4DHN1</t>
  </si>
  <si>
    <t>MDI2-22F4DHN1</t>
  </si>
  <si>
    <t>22026014000204</t>
  </si>
  <si>
    <t>MI2-28F4DHN1</t>
  </si>
  <si>
    <t>MDI2-28F4DHN1</t>
  </si>
  <si>
    <t>22026014000193</t>
  </si>
  <si>
    <t>MI2-36F4DHN1</t>
  </si>
  <si>
    <t>MDI2-36F4DHN1</t>
  </si>
  <si>
    <t>22026014000192</t>
  </si>
  <si>
    <t>MI2-45F4DHN1</t>
  </si>
  <si>
    <t>MDI2-45F4DHN1</t>
  </si>
  <si>
    <t>22026014000191</t>
  </si>
  <si>
    <t>MI2-56F4DHN1</t>
  </si>
  <si>
    <t>MDI2-56F4DHN1</t>
  </si>
  <si>
    <t>22026014000190</t>
  </si>
  <si>
    <t>MI2-71F4DHN1</t>
  </si>
  <si>
    <t>MDI2-71F4DHN1</t>
  </si>
  <si>
    <t>22026014000188</t>
  </si>
  <si>
    <t>MI2-80F4DHN1</t>
  </si>
  <si>
    <t>MDI2-80F4DHN1</t>
  </si>
  <si>
    <t>22026014000187</t>
  </si>
  <si>
    <t>MI2-22F5DHN1</t>
  </si>
  <si>
    <t>MDI2-22F5DHN1</t>
  </si>
  <si>
    <t>22026014000205</t>
  </si>
  <si>
    <t>MI2-28F5DHN1</t>
  </si>
  <si>
    <t>MDI2-28F5DHN1</t>
  </si>
  <si>
    <t>22026014000203</t>
  </si>
  <si>
    <t>MI2-36F5DHN1</t>
  </si>
  <si>
    <t>MDI2-36F5DHN1</t>
  </si>
  <si>
    <t>22026014000202</t>
  </si>
  <si>
    <t>MI2-45F5DHN1</t>
  </si>
  <si>
    <t>MDI2-45F5DHN1</t>
  </si>
  <si>
    <t>22026014000201</t>
  </si>
  <si>
    <t>MI2-56F5DHN1</t>
  </si>
  <si>
    <t>MDI2-56F5DHN1</t>
  </si>
  <si>
    <t>22026014000199</t>
  </si>
  <si>
    <t>MI2-71F5DHN1</t>
  </si>
  <si>
    <t>MDI2-71F5DHN1</t>
  </si>
  <si>
    <t>22026014000198</t>
  </si>
  <si>
    <t>MI2-80F5DHN1</t>
  </si>
  <si>
    <t>MDI2-80F5DHN1</t>
  </si>
  <si>
    <t>22026014000197</t>
  </si>
  <si>
    <t xml:space="preserve">MI2-22ZDHN1 </t>
  </si>
  <si>
    <t xml:space="preserve">MDI2-22ZDHN1 </t>
  </si>
  <si>
    <t>22026015000053</t>
  </si>
  <si>
    <t xml:space="preserve"> MI2-28ZDHN1 </t>
  </si>
  <si>
    <t xml:space="preserve"> MDI2-28ZDHN1 </t>
  </si>
  <si>
    <t>22026015000054</t>
  </si>
  <si>
    <t xml:space="preserve"> MI2-36ZDHN1 </t>
  </si>
  <si>
    <t xml:space="preserve"> MDI2-36ZDHN1 </t>
  </si>
  <si>
    <t>22026015000055</t>
  </si>
  <si>
    <t xml:space="preserve"> MI2-45ZDHN1 </t>
  </si>
  <si>
    <t xml:space="preserve"> MDI2-45ZDHN1 </t>
  </si>
  <si>
    <t>22026015000056</t>
  </si>
  <si>
    <t xml:space="preserve">CE-MDVD22G/N1Y-11M </t>
  </si>
  <si>
    <t xml:space="preserve">MDVD22G/N1Y-11M </t>
  </si>
  <si>
    <t>22026010000426</t>
  </si>
  <si>
    <t>CE-MDVD28G/N1Y-11M</t>
  </si>
  <si>
    <t>MDVD28G/N1Y-11M</t>
  </si>
  <si>
    <t>22026010000419</t>
  </si>
  <si>
    <t>CE-MDVD36G/N1Y-11M</t>
  </si>
  <si>
    <t>MDVD36G/N1Y-11M</t>
  </si>
  <si>
    <t>22026010000420</t>
  </si>
  <si>
    <t>CE-MDVD45G/N1Y-11M</t>
  </si>
  <si>
    <t>MDVD45G/N1Y-11M</t>
  </si>
  <si>
    <t>22026010000421</t>
  </si>
  <si>
    <t>CE-MDVD56G/N1Y-11M</t>
  </si>
  <si>
    <t>MDVD56G/N1Y-11M</t>
  </si>
  <si>
    <t>22026010000422</t>
  </si>
  <si>
    <t xml:space="preserve">CE-MDVD71G/N1Y-11M </t>
  </si>
  <si>
    <t xml:space="preserve">MDVD71G/N1Y-11M </t>
  </si>
  <si>
    <t>22026010000423</t>
  </si>
  <si>
    <t>CE-MDVD80G/N1Y-11M</t>
  </si>
  <si>
    <t>MDVD80G/N1Y-11M</t>
  </si>
  <si>
    <t>22026010000424</t>
  </si>
  <si>
    <t>CE-MDVD90G/N1Y-11M</t>
  </si>
  <si>
    <t>MDVD90G/N1Y-11M</t>
  </si>
  <si>
    <t>22026010000425</t>
  </si>
  <si>
    <t>MDV-D18Q1/N1-D</t>
  </si>
  <si>
    <t>22026012000204</t>
  </si>
  <si>
    <t>MDV-D22Q1/N1-D</t>
  </si>
  <si>
    <t>22026012000200</t>
  </si>
  <si>
    <t>MDV-D28Q1/N1-D</t>
  </si>
  <si>
    <t>22026012000218</t>
  </si>
  <si>
    <t>MDV-D36Q1/N1-D</t>
  </si>
  <si>
    <t>22026012000219</t>
  </si>
  <si>
    <t>MDV-D45Q1/N1-D</t>
  </si>
  <si>
    <t>22026012000234</t>
  </si>
  <si>
    <t>MDV-D56Q1/N1-D</t>
  </si>
  <si>
    <t>22026012000235</t>
  </si>
  <si>
    <t>MDV-D71Q1/N1-D</t>
  </si>
  <si>
    <t>22026012000236</t>
  </si>
  <si>
    <t>MDV-D22Q2/N1</t>
  </si>
  <si>
    <t>22026012000008</t>
  </si>
  <si>
    <t>MDV-D28Q2/N1</t>
  </si>
  <si>
    <t>22026012000014</t>
  </si>
  <si>
    <t>MDV-D36Q2/N1</t>
  </si>
  <si>
    <t>22026012000005</t>
  </si>
  <si>
    <t>MDV-D45Q2/N1</t>
  </si>
  <si>
    <t>22026012000024</t>
  </si>
  <si>
    <t>MDV-D56Q2/N1</t>
  </si>
  <si>
    <t>22026012000004</t>
  </si>
  <si>
    <t>MDV-D71Q2/N1</t>
  </si>
  <si>
    <t>22026012000009</t>
  </si>
  <si>
    <t>MDV-D15Q4/N1-A3</t>
  </si>
  <si>
    <t>22026012000066</t>
  </si>
  <si>
    <t>MDV-D22Q4/N1-A3</t>
  </si>
  <si>
    <t>22026012000073</t>
  </si>
  <si>
    <t>MDV-D28Q4/N1-A3</t>
  </si>
  <si>
    <t>22026012000119</t>
  </si>
  <si>
    <t>MDV-D36Q4/N1-A3</t>
  </si>
  <si>
    <t>22026012000109</t>
  </si>
  <si>
    <t>MDV-D45Q4/N1-A3</t>
  </si>
  <si>
    <t>22026012000039</t>
  </si>
  <si>
    <t>MDV-D56Q4/N1-A3</t>
  </si>
  <si>
    <t>MDV-MBQ4-03A2</t>
  </si>
  <si>
    <t>12112900000382</t>
  </si>
  <si>
    <t>MDV-D28Q4/N1-E</t>
  </si>
  <si>
    <t>22026012000164</t>
  </si>
  <si>
    <t>MDV-D36Q4/N1-E</t>
  </si>
  <si>
    <t>22026012000174</t>
  </si>
  <si>
    <t>MDV-D45Q4/N1-E</t>
  </si>
  <si>
    <t>22026012000166</t>
  </si>
  <si>
    <t>MDV-D56Q4/N1-E</t>
  </si>
  <si>
    <t>22026012000047</t>
  </si>
  <si>
    <t>MDV-D71Q4/N1-E</t>
  </si>
  <si>
    <t>22026012000030</t>
  </si>
  <si>
    <t>MDV-D80Q4/N1-E</t>
  </si>
  <si>
    <t>22026012000060</t>
  </si>
  <si>
    <t>MDV-D90Q4/N1-E</t>
  </si>
  <si>
    <t>22026012000167</t>
  </si>
  <si>
    <t>MDV-D100Q4/N1-E</t>
  </si>
  <si>
    <t>22026012000065</t>
  </si>
  <si>
    <t>MDV-D112Q4/N1-E</t>
  </si>
  <si>
    <t>22026012000046</t>
  </si>
  <si>
    <t>MDV-D140Q4/N1-E</t>
  </si>
  <si>
    <t>22026012000057</t>
  </si>
  <si>
    <t>T-MBQ4-02B1</t>
  </si>
  <si>
    <t>MDV-MBQ4-02B1</t>
  </si>
  <si>
    <t>12112900A00616</t>
  </si>
  <si>
    <t>MI-22G/DHN1-M</t>
  </si>
  <si>
    <t>MDI-22G/DHN1-M</t>
  </si>
  <si>
    <t>22026010000179</t>
  </si>
  <si>
    <t>MI-28G/DHN1-M</t>
  </si>
  <si>
    <t>MDI-28G/DHN1-M</t>
  </si>
  <si>
    <t>22026010000180</t>
  </si>
  <si>
    <t>MI-36G/DHN1-M</t>
  </si>
  <si>
    <t>MDI-36G/DHN1-M</t>
  </si>
  <si>
    <t>22026010000181</t>
  </si>
  <si>
    <t>MI-45G/DHN1-M</t>
  </si>
  <si>
    <t>MDI-45G/DHN1-M</t>
  </si>
  <si>
    <t>22026010000182</t>
  </si>
  <si>
    <t>MI-56G/DHN1-M</t>
  </si>
  <si>
    <t>MDI-56G/DHN1-M</t>
  </si>
  <si>
    <t>22026010000183</t>
  </si>
  <si>
    <t>MI-71G/DHN1-M</t>
  </si>
  <si>
    <t>MDI-71G/DHN1-M</t>
  </si>
  <si>
    <t>22026010000184</t>
  </si>
  <si>
    <t>MI-80G/DHN1-M</t>
  </si>
  <si>
    <t>MDI-80G/DHN1-M</t>
  </si>
  <si>
    <t>22026010000185</t>
  </si>
  <si>
    <t>MI-90G/DHN1-M</t>
  </si>
  <si>
    <t>MDI-90G/DHN1-M</t>
  </si>
  <si>
    <t xml:space="preserve">借用22026010000185定制M9面板L201606180001 </t>
  </si>
  <si>
    <t>MDV-D36DL/N1-C</t>
  </si>
  <si>
    <t>22026013000046</t>
  </si>
  <si>
    <t>MDV-D45DL/N1-C</t>
  </si>
  <si>
    <t>22026013000038</t>
  </si>
  <si>
    <t>MDV-D56DL/N1-C</t>
  </si>
  <si>
    <t>22026013000006</t>
  </si>
  <si>
    <t>MDV-D71DL/N1-C</t>
  </si>
  <si>
    <t>22026013000030</t>
  </si>
  <si>
    <t>MDV-D80DL/N1-C</t>
  </si>
  <si>
    <t>22026013000021</t>
  </si>
  <si>
    <t>MDV-D90DL/N1-C</t>
  </si>
  <si>
    <t>22026013000016</t>
  </si>
  <si>
    <t>MDV-D112DL/N1-C</t>
  </si>
  <si>
    <t>22026013000007</t>
  </si>
  <si>
    <t>MDV-D140DL/N1-C</t>
  </si>
  <si>
    <t>22026013000042</t>
  </si>
  <si>
    <t>MDV-D160DL/N1-C</t>
  </si>
  <si>
    <t>22026013000014</t>
  </si>
  <si>
    <t>MDV-D80T2/N1-BA5</t>
  </si>
  <si>
    <t>22026011000194</t>
  </si>
  <si>
    <t>MDV-D90T2/N1-BA5</t>
  </si>
  <si>
    <t>22026011000181</t>
  </si>
  <si>
    <t>MDV-D112T2/N1-BA5</t>
  </si>
  <si>
    <t>22026011000190</t>
  </si>
  <si>
    <t>MDV-D140T2/N1-BA5</t>
  </si>
  <si>
    <t>22026011000179</t>
  </si>
  <si>
    <t>MDV-D22T2/N1-DA5</t>
  </si>
  <si>
    <t>22026011001079</t>
  </si>
  <si>
    <t>MDV-D28T2/N1-DA5</t>
  </si>
  <si>
    <t>22026011001082</t>
  </si>
  <si>
    <t>MDV-D36T2/N1-DA5</t>
  </si>
  <si>
    <t>22026011001083</t>
  </si>
  <si>
    <t>MDV-D45T2/N1-DA5</t>
  </si>
  <si>
    <t>22026011001078</t>
  </si>
  <si>
    <t>MDV-D56T2/N1-DA5</t>
  </si>
  <si>
    <t>22026011001081</t>
  </si>
  <si>
    <t>MDV-D71T2/N1-DA5</t>
  </si>
  <si>
    <t>22026011001080</t>
  </si>
  <si>
    <t>MDV-D71T1/N1-B</t>
  </si>
  <si>
    <t>22026011000114</t>
  </si>
  <si>
    <t>MDV-D80T1/N1-B</t>
  </si>
  <si>
    <t>22026011000109</t>
  </si>
  <si>
    <t>MDV-D90T1/N1-B</t>
  </si>
  <si>
    <t>22026011000116</t>
  </si>
  <si>
    <t>MDV-D112T1/N1-B</t>
  </si>
  <si>
    <t>22026011000066</t>
  </si>
  <si>
    <t>MDV-D140T1/N1-B</t>
  </si>
  <si>
    <t>22026011000113</t>
  </si>
  <si>
    <t>MDV-D160T1/N1-B</t>
  </si>
  <si>
    <t>22026011000067</t>
  </si>
  <si>
    <t>MDV-D200T1/N1-B</t>
  </si>
  <si>
    <t>22026011000068</t>
  </si>
  <si>
    <t>MDV-D250T1/N1-B</t>
  </si>
  <si>
    <t>22026011000074</t>
  </si>
  <si>
    <t>MDV-D280T1/N1-B</t>
  </si>
  <si>
    <t>22026011000106</t>
  </si>
  <si>
    <t>MDV-D125T1/N1-FA</t>
  </si>
  <si>
    <t>22026021000007</t>
  </si>
  <si>
    <t>MDV-D140T1/N1-FA</t>
  </si>
  <si>
    <t>22026021000018</t>
  </si>
  <si>
    <t>MDV-D200T1/N1-FA</t>
  </si>
  <si>
    <t>22026021000008</t>
  </si>
  <si>
    <t>MDV-D250T1/N1-FA</t>
  </si>
  <si>
    <t>22026021000009</t>
  </si>
  <si>
    <t>MDV-D280T1/N1-FA</t>
  </si>
  <si>
    <t>22026021000019</t>
  </si>
  <si>
    <t>MDV-D400T1/N1</t>
  </si>
  <si>
    <t>22026011000107</t>
  </si>
  <si>
    <t>MDV-D450T1/N1</t>
  </si>
  <si>
    <t>22026011000069</t>
  </si>
  <si>
    <t>MDV-D560T1/N1</t>
  </si>
  <si>
    <t>22026011000075</t>
  </si>
  <si>
    <t>MDV-D22Z/N1-F4</t>
  </si>
  <si>
    <t>22026014000118</t>
  </si>
  <si>
    <t>MDV-D28Z/N1-F4</t>
  </si>
  <si>
    <t>22026014000110</t>
  </si>
  <si>
    <t>MDV-D36Z/N1-F4</t>
  </si>
  <si>
    <t>22026014000106</t>
  </si>
  <si>
    <t>MDV-D45Z/N1-F4</t>
  </si>
  <si>
    <t>22026014000107</t>
  </si>
  <si>
    <t>MDV-D56Z/N1-F4</t>
  </si>
  <si>
    <t>22026014000119</t>
  </si>
  <si>
    <t>MDV-D71Z/N1-F4</t>
  </si>
  <si>
    <t>22026014000112</t>
  </si>
  <si>
    <t>MDV-D80Z/N1-F4</t>
  </si>
  <si>
    <t>22026014000113</t>
  </si>
  <si>
    <t>MDV-D22Z/N1-F5</t>
  </si>
  <si>
    <t>借用22026014000118定制</t>
  </si>
  <si>
    <t>MDV-D28Z/N1-F5</t>
  </si>
  <si>
    <t>借用22026014000110定制</t>
  </si>
  <si>
    <t>MDV-D36Z/N1-F5</t>
  </si>
  <si>
    <t>借用22026014000106定制</t>
  </si>
  <si>
    <t>MDV-D45Z/N1-F5</t>
  </si>
  <si>
    <t>借用22026014000107定制</t>
  </si>
  <si>
    <t>MDV-D56Z/N1-F5</t>
  </si>
  <si>
    <t>借用22026014000119定制</t>
  </si>
  <si>
    <t>MDV-D71Z/N1-F5</t>
  </si>
  <si>
    <t>借用22026014000112定制</t>
  </si>
  <si>
    <t>MDV-D80Z/N1-F5</t>
  </si>
  <si>
    <t>借用22026014000113定制</t>
  </si>
  <si>
    <t>MDV-D22Z/N1-F3B</t>
  </si>
  <si>
    <t>MDV-D28Z/N1-F3B</t>
  </si>
  <si>
    <t>MDV-D36Z/N1-F3B</t>
  </si>
  <si>
    <t>MDV-D45Z/N1-F3B</t>
  </si>
  <si>
    <t>MDV-D56Z/N1-F3B</t>
  </si>
  <si>
    <t>MDV-D71Z/N1-F3B</t>
  </si>
  <si>
    <t>MDV-D80Z/N1-F3B</t>
  </si>
  <si>
    <t>MDV-D22Z/DN1-B</t>
  </si>
  <si>
    <t>22026015000006</t>
  </si>
  <si>
    <t>MDV-D28Z/DN1-B</t>
  </si>
  <si>
    <t>22026015000003</t>
  </si>
  <si>
    <t>MDV-D36Z/DN1-B</t>
  </si>
  <si>
    <t>22026015000005</t>
  </si>
  <si>
    <t>MDV-D45Z/DN1-B</t>
  </si>
  <si>
    <t>22026015000007</t>
  </si>
  <si>
    <t>HRV-200</t>
  </si>
  <si>
    <t>22026022000019</t>
  </si>
  <si>
    <t>HRV-300</t>
  </si>
  <si>
    <t>22026022000018</t>
  </si>
  <si>
    <t>HRV-400</t>
  </si>
  <si>
    <t>22026022000011</t>
  </si>
  <si>
    <t>HRV-500</t>
  </si>
  <si>
    <t>22026022000016</t>
  </si>
  <si>
    <t>HRV-800</t>
  </si>
  <si>
    <t>22026022000009</t>
  </si>
  <si>
    <t>HRV-1000</t>
  </si>
  <si>
    <t>22026022000012</t>
  </si>
  <si>
    <t>HRV-1500</t>
  </si>
  <si>
    <t>22026022000001</t>
  </si>
  <si>
    <t>HRV-2000</t>
  </si>
  <si>
    <t>22026022000017</t>
  </si>
  <si>
    <t>AHUKZ-00D</t>
  </si>
  <si>
    <t>22012000000134</t>
  </si>
  <si>
    <t>AHUKZ-01D</t>
  </si>
  <si>
    <t>22012000000133</t>
  </si>
  <si>
    <t>AHUKZ-02D</t>
  </si>
  <si>
    <t>22012000000131</t>
  </si>
  <si>
    <t>AHUKZ-03D</t>
  </si>
  <si>
    <t>22012000000132</t>
  </si>
  <si>
    <t>SMK-D140HHN1-3</t>
  </si>
  <si>
    <t>22010600000130</t>
  </si>
  <si>
    <t>SMK-D140HN1-3</t>
  </si>
  <si>
    <t>MS01N1-D</t>
  </si>
  <si>
    <t>22010200000195</t>
  </si>
  <si>
    <t>MS04N1-D　</t>
  </si>
  <si>
    <t>22010200000219</t>
  </si>
  <si>
    <t>MS06N1-D</t>
  </si>
  <si>
    <t>22010200000218</t>
  </si>
  <si>
    <t>MS08N1-D</t>
  </si>
  <si>
    <t>22010200000217</t>
  </si>
  <si>
    <t>MS10N1-D　</t>
  </si>
  <si>
    <t>22010200000216</t>
  </si>
  <si>
    <t>MS12N1-D　</t>
  </si>
  <si>
    <t>22010200000215</t>
  </si>
  <si>
    <t>R05/BGE</t>
  </si>
  <si>
    <t>RM05/BG</t>
  </si>
  <si>
    <t>RM02</t>
  </si>
  <si>
    <t>KJRP-86I/MFK-E</t>
  </si>
  <si>
    <t>RM12A/BGEF</t>
  </si>
  <si>
    <t>17317000002875</t>
  </si>
  <si>
    <t>KJR-12B/DP(T)-E(D)</t>
  </si>
  <si>
    <t>KJR-12B/DP(T)-E</t>
  </si>
  <si>
    <t>17317100000174</t>
  </si>
  <si>
    <t>KJR-29B1/BK-E</t>
  </si>
  <si>
    <t>17317100000108</t>
  </si>
  <si>
    <t>KJR-86C-E</t>
  </si>
  <si>
    <t>MD-CCM03/E(M)</t>
  </si>
  <si>
    <t>CCM30</t>
  </si>
  <si>
    <t>17311500A00165</t>
  </si>
  <si>
    <t>MD-CCM09/E</t>
  </si>
  <si>
    <t>17211500000018</t>
  </si>
  <si>
    <t>KJR-90B/M-E</t>
  </si>
  <si>
    <t>KJR-150A/M-E</t>
  </si>
  <si>
    <t>17311500000071</t>
  </si>
  <si>
    <t>NIM01/E</t>
  </si>
  <si>
    <t>NIM01</t>
  </si>
  <si>
    <t>17210900000008</t>
  </si>
  <si>
    <t>MD-NIM05/E</t>
  </si>
  <si>
    <t>NIM05</t>
  </si>
  <si>
    <t>MD-NIM05B/E</t>
  </si>
  <si>
    <t>MD-NIM09/E</t>
  </si>
  <si>
    <t>MD-NIM10</t>
  </si>
  <si>
    <t>CCM02</t>
  </si>
  <si>
    <t>MCAC-DIAG/E</t>
  </si>
  <si>
    <t>KJR-32B/E</t>
  </si>
  <si>
    <t>KJR-120C/BW-E</t>
  </si>
  <si>
    <t>MD-LonGW64/E</t>
  </si>
  <si>
    <t>17211200000103</t>
  </si>
  <si>
    <t>CCM-18A/N</t>
  </si>
  <si>
    <t>MD-CCM18A/N</t>
  </si>
  <si>
    <t>17211200000110</t>
  </si>
  <si>
    <t>MD-CCM08/E</t>
  </si>
  <si>
    <t>17311500000062</t>
  </si>
  <si>
    <t>CCM15</t>
  </si>
  <si>
    <t>17211200000681</t>
  </si>
  <si>
    <t>IMM441V4PA58</t>
  </si>
  <si>
    <t>IMM-ENET-MA</t>
  </si>
  <si>
    <t>DTS634/DTS636</t>
  </si>
  <si>
    <t>17511100000004</t>
  </si>
  <si>
    <t>MD-KNX-01</t>
  </si>
  <si>
    <t>CE-AHUKZ-01A</t>
  </si>
  <si>
    <t>AHUKZ-01A</t>
  </si>
  <si>
    <t>CE-AHUKZ-02A</t>
  </si>
  <si>
    <t>AHUKZ-02A</t>
  </si>
  <si>
    <t>CE-AHUKZ-03A</t>
  </si>
  <si>
    <t>AHUKZ-03A</t>
  </si>
  <si>
    <t xml:space="preserve">  AHUKZ-01B</t>
  </si>
  <si>
    <t>AHUKZ-01B</t>
  </si>
  <si>
    <t xml:space="preserve">  AHUKZ-02B</t>
  </si>
  <si>
    <t>AHUKZ-02B</t>
  </si>
  <si>
    <t xml:space="preserve">  AHUKZ-03B</t>
  </si>
  <si>
    <t>AHUKZ-03B</t>
  </si>
  <si>
    <t>AHUKZ-00C</t>
  </si>
  <si>
    <t>22012000000008</t>
  </si>
  <si>
    <t>AHUKZ-01C</t>
  </si>
  <si>
    <t>AHUKZ-02C</t>
  </si>
  <si>
    <t>22012000000009</t>
  </si>
  <si>
    <t>AHUKZ-03C</t>
  </si>
  <si>
    <t>22012000000010</t>
  </si>
  <si>
    <t>CE-FCUKZ-01</t>
  </si>
  <si>
    <t>FCUKZ-01</t>
  </si>
  <si>
    <t>CE-FCUKZ-02</t>
  </si>
  <si>
    <t>FCUKZ-02</t>
  </si>
  <si>
    <t>CE-FCUKZ-03</t>
  </si>
  <si>
    <t>FCUKZ-03</t>
  </si>
  <si>
    <t>22012000000001</t>
  </si>
  <si>
    <t>CE-FCUKZ-04</t>
  </si>
  <si>
    <t>FCUKZ-04</t>
  </si>
  <si>
    <t>22012000000005</t>
  </si>
  <si>
    <t>RM02A/BGE(T)-A</t>
  </si>
  <si>
    <t>KJR-120A/B-E</t>
  </si>
  <si>
    <t>KJR-120B/BKP-E</t>
  </si>
  <si>
    <t>MD-CCM03/E(T)</t>
  </si>
  <si>
    <t>FQZHW-02SB1</t>
  </si>
  <si>
    <t>15111700001754</t>
  </si>
  <si>
    <t>FQZHW-03SB1</t>
  </si>
  <si>
    <t>15111700001761</t>
  </si>
  <si>
    <t>FQZHN-01SB1</t>
  </si>
  <si>
    <t>FQZHN-02SB1</t>
  </si>
  <si>
    <t>15111700001738</t>
  </si>
  <si>
    <t>FQZHN-03SB1</t>
  </si>
  <si>
    <t>15111700001734</t>
  </si>
  <si>
    <t>FQZHN-04SB1</t>
  </si>
  <si>
    <t>15111700001735</t>
  </si>
  <si>
    <t>FQZHN-05SB1</t>
  </si>
  <si>
    <t>15111700001737</t>
  </si>
  <si>
    <t>DXFQT4-01</t>
  </si>
  <si>
    <t>15111700A03090</t>
  </si>
  <si>
    <t>DXFQT8-01</t>
  </si>
  <si>
    <t>15111700A03089</t>
  </si>
  <si>
    <t>FQZHN-09A</t>
  </si>
  <si>
    <t>15111700001774</t>
  </si>
  <si>
    <t xml:space="preserve">FQZHW-02SB </t>
  </si>
  <si>
    <t>FQZHW-02SB</t>
  </si>
  <si>
    <t>15111700000276</t>
  </si>
  <si>
    <t>FQZHW-03SB</t>
  </si>
  <si>
    <t>15111700000353</t>
  </si>
  <si>
    <t>FQZHW-04SB</t>
  </si>
  <si>
    <t>15111700000339</t>
  </si>
  <si>
    <t>FQZHN-01SB</t>
  </si>
  <si>
    <t>15111700000333</t>
  </si>
  <si>
    <t>FQZHN-02SB</t>
  </si>
  <si>
    <t>15111700000295</t>
  </si>
  <si>
    <t>FQZHN-03SB</t>
  </si>
  <si>
    <t>15111700000386</t>
  </si>
  <si>
    <t>FQZHN-04SB</t>
  </si>
  <si>
    <t>15111700000388</t>
  </si>
  <si>
    <t>FQZHN-05SB</t>
  </si>
  <si>
    <t>15111700000349</t>
  </si>
  <si>
    <t>CE-FQZHW-02N1D</t>
  </si>
  <si>
    <t>FQZHW-02N1D</t>
  </si>
  <si>
    <t>15111700000369</t>
  </si>
  <si>
    <t>CE-FQZHW-03N1D</t>
  </si>
  <si>
    <t>FQZHW-03N1D</t>
  </si>
  <si>
    <t>15111700000267</t>
  </si>
  <si>
    <t>CE-FQZHW-04N1D</t>
  </si>
  <si>
    <t>FQZHW-04N1D</t>
  </si>
  <si>
    <t>15111700000331</t>
  </si>
  <si>
    <t>FQZHN-01D</t>
  </si>
  <si>
    <t>15111700000352</t>
  </si>
  <si>
    <t>FQZHN-02D</t>
  </si>
  <si>
    <t>15111700000376</t>
  </si>
  <si>
    <t>FQZHN-03D</t>
  </si>
  <si>
    <t>15111700000304</t>
  </si>
  <si>
    <t>FQZHN-04D</t>
  </si>
  <si>
    <t>15111700000390</t>
  </si>
  <si>
    <t>FQZHN-05D</t>
  </si>
  <si>
    <t>15111700000272</t>
  </si>
  <si>
    <t>FQZHN-06D</t>
  </si>
  <si>
    <t>15111700000311</t>
  </si>
  <si>
    <t>FQZHW-02N1E</t>
  </si>
  <si>
    <t>15111700001468</t>
  </si>
  <si>
    <t>FQZHW-03N1E</t>
  </si>
  <si>
    <t>15111700001467</t>
  </si>
  <si>
    <t>FQZHD-01</t>
  </si>
  <si>
    <t>15111700000307</t>
  </si>
  <si>
    <t>FQZHD-02</t>
  </si>
  <si>
    <t>15111700000341</t>
  </si>
  <si>
    <t>FQZHD-03</t>
  </si>
  <si>
    <t>15111700000277</t>
  </si>
  <si>
    <t>FQZHD-04</t>
  </si>
  <si>
    <t>15111700000265</t>
  </si>
  <si>
    <t>MCAC-PIDU</t>
  </si>
  <si>
    <t>17126000003949</t>
  </si>
  <si>
    <t>MCAC-DSCK</t>
  </si>
  <si>
    <t>17227000003201</t>
  </si>
  <si>
    <t xml:space="preserve"> T-MBQ4-03B</t>
  </si>
  <si>
    <t>T-MBQ-03D3</t>
  </si>
  <si>
    <t>12112900A09426</t>
  </si>
  <si>
    <t>CE-MBQ-03C4</t>
  </si>
  <si>
    <t>22012900002851</t>
  </si>
  <si>
    <t>CE-MBQ2-01</t>
  </si>
  <si>
    <t>22012900002618</t>
  </si>
  <si>
    <t xml:space="preserve"> MBQ1-01D</t>
  </si>
  <si>
    <t>MDV-MBQ1-01D</t>
  </si>
  <si>
    <t>22012900000410</t>
  </si>
  <si>
    <t>MBQ1-02D</t>
  </si>
  <si>
    <t>MDV-MBQ1-02D</t>
  </si>
  <si>
    <t>12112900000376</t>
  </si>
  <si>
    <t>RM05B</t>
  </si>
  <si>
    <t>17117000003840</t>
  </si>
  <si>
    <t>RM12D</t>
  </si>
  <si>
    <t>17117000003842</t>
  </si>
  <si>
    <t>WDC-86E/K</t>
  </si>
  <si>
    <t>17317100003095</t>
  </si>
  <si>
    <t>WDC-86E/KD</t>
  </si>
  <si>
    <t>17317100003096</t>
  </si>
  <si>
    <t>WDC-120G/WK</t>
  </si>
  <si>
    <t>17317100002915</t>
  </si>
  <si>
    <t>CCM-180A/BWS</t>
  </si>
  <si>
    <t>17311500000461</t>
  </si>
  <si>
    <r>
      <rPr>
        <sz val="12"/>
        <rFont val="宋体"/>
        <family val="3"/>
        <charset val="134"/>
      </rPr>
      <t>17311500A04245</t>
    </r>
    <r>
      <rPr>
        <sz val="12"/>
        <rFont val="宋体"/>
        <family val="3"/>
        <charset val="134"/>
      </rPr>
      <t xml:space="preserve"> 无牌</t>
    </r>
  </si>
  <si>
    <t>CCM-270B/WS</t>
  </si>
  <si>
    <t>17311500000721</t>
  </si>
  <si>
    <t>GW-BAC</t>
  </si>
  <si>
    <t>17211200000861</t>
  </si>
  <si>
    <t>IMMP-BAC</t>
  </si>
  <si>
    <t>17211200A03107</t>
  </si>
  <si>
    <t>GW-MOD</t>
  </si>
  <si>
    <t>17211200000961</t>
  </si>
  <si>
    <t>GW-LON</t>
  </si>
  <si>
    <t>17211200000921</t>
  </si>
  <si>
    <t>IMMP-M</t>
  </si>
  <si>
    <t>17211200000922</t>
  </si>
  <si>
    <t>IMMP-S</t>
  </si>
  <si>
    <t>17211000000181</t>
  </si>
  <si>
    <t>无牌</t>
  </si>
  <si>
    <t>GW-KNX</t>
  </si>
  <si>
    <t>17211200001521</t>
  </si>
  <si>
    <t>MCAC-DIAG-B</t>
  </si>
  <si>
    <t>17211000000201</t>
  </si>
  <si>
    <t>CCM30/BKE-B(NL)</t>
  </si>
  <si>
    <t>17311500A07169</t>
  </si>
  <si>
    <t>RM12F/BGF-E</t>
  </si>
  <si>
    <t>RM12F</t>
  </si>
  <si>
    <t>17317000008018</t>
  </si>
  <si>
    <t>MBT2-01N</t>
  </si>
  <si>
    <t>21012900000076</t>
  </si>
  <si>
    <t>MBT2-02N</t>
  </si>
  <si>
    <t>21012900000077</t>
  </si>
  <si>
    <t>MBT2-03N</t>
  </si>
  <si>
    <t>21012900000078</t>
  </si>
  <si>
    <t>MGBL-F200W/RN1</t>
  </si>
  <si>
    <t>MDGB-F200W/SN1</t>
  </si>
  <si>
    <t>22027120000044</t>
  </si>
  <si>
    <t>MGBT-F180W/RN1</t>
  </si>
  <si>
    <t>MDGBT-F180W/RN1</t>
  </si>
  <si>
    <t>22027120000069</t>
  </si>
  <si>
    <t>MGBT-F250W/RN1</t>
  </si>
  <si>
    <t>MDGBT-F250W/RN1</t>
  </si>
  <si>
    <t>22027120000054</t>
  </si>
  <si>
    <t>MDGBL-F200W/RN1</t>
  </si>
  <si>
    <t>MGBL-F250W/RN1</t>
  </si>
  <si>
    <t>MDGBL-F250W/RN1</t>
  </si>
  <si>
    <t>22027120000065</t>
  </si>
  <si>
    <t>MC-SS35/RN1L</t>
  </si>
  <si>
    <t>MDC-SS35/RN1L</t>
  </si>
  <si>
    <t>22027120000067</t>
  </si>
  <si>
    <t>MC-SS65/RN1L</t>
  </si>
  <si>
    <t>MDC-SS65/RN1L</t>
  </si>
  <si>
    <t>22027120000030</t>
  </si>
  <si>
    <t>MC-SS80/RN1L</t>
  </si>
  <si>
    <t>MDC-SS80/RN1L</t>
  </si>
  <si>
    <t>22027120000003</t>
  </si>
  <si>
    <t>MC-SS130/RN1L</t>
  </si>
  <si>
    <t>MDC-SS130/RN1</t>
  </si>
  <si>
    <t>22027120000221</t>
  </si>
  <si>
    <t>KJR-120A/MBTE</t>
  </si>
  <si>
    <t>KJR-120B/MBTE</t>
  </si>
  <si>
    <t>17317100000068</t>
  </si>
  <si>
    <t>KJRM-120D/BMK-E</t>
  </si>
  <si>
    <t>17317100000116</t>
  </si>
  <si>
    <t>WFS-1001-H</t>
  </si>
  <si>
    <t>202301820013</t>
  </si>
  <si>
    <t>MGC-V5W/D2N1</t>
  </si>
  <si>
    <t>22027410000030</t>
  </si>
  <si>
    <t>MGC-V7W/D2N1</t>
  </si>
  <si>
    <t>22027410000031</t>
  </si>
  <si>
    <t>MGC-V10W/D2N1</t>
  </si>
  <si>
    <t>22027410000051</t>
  </si>
  <si>
    <t>MGC-V12W/D2N1</t>
  </si>
  <si>
    <t>22027410000010</t>
  </si>
  <si>
    <t>MGC-V14W/D2RN1</t>
  </si>
  <si>
    <t>MGC-V14W/D2N1</t>
  </si>
  <si>
    <t>22027410000050</t>
  </si>
  <si>
    <t>MGC-V16W/D2RN1</t>
  </si>
  <si>
    <t>MGC-V16W/D2N1</t>
  </si>
  <si>
    <t>22027410000052</t>
  </si>
  <si>
    <t>KJR-120F1/BMK-E</t>
  </si>
  <si>
    <t>17317100000066</t>
  </si>
  <si>
    <t>MC-SU30-RN1L</t>
  </si>
  <si>
    <t>22027120000278</t>
  </si>
  <si>
    <t>MC-SU60-RN1L</t>
  </si>
  <si>
    <t>22027120000258</t>
  </si>
  <si>
    <t>MC-SU90-RN1L</t>
  </si>
  <si>
    <t>22027120000318</t>
  </si>
  <si>
    <t>RHAE95HA</t>
  </si>
  <si>
    <t>RHAE125HA</t>
  </si>
  <si>
    <t>RHAE190HA</t>
  </si>
  <si>
    <t>RHAE220HA</t>
  </si>
  <si>
    <t>RHAE250HA</t>
  </si>
  <si>
    <t>RCAE95HA</t>
  </si>
  <si>
    <t>RCAE125HA</t>
  </si>
  <si>
    <t>RCAE190HA</t>
  </si>
  <si>
    <t>RCAE220HA</t>
  </si>
  <si>
    <t>RCAE250HA</t>
  </si>
  <si>
    <t>Midea model</t>
  </si>
  <si>
    <t>2019 price</t>
  </si>
  <si>
    <t>LSBLGW380/C</t>
  </si>
  <si>
    <t>22027230000017</t>
  </si>
  <si>
    <t>LSBLGW500/C</t>
  </si>
  <si>
    <t>22027230000008</t>
  </si>
  <si>
    <t>LSBLGW600/C</t>
  </si>
  <si>
    <t>22027230000010</t>
  </si>
  <si>
    <t>LSBLGW720/C</t>
  </si>
  <si>
    <t>22027230000013</t>
  </si>
  <si>
    <t>LSBLGW720/A</t>
  </si>
  <si>
    <t>22027230000043</t>
  </si>
  <si>
    <t>LSBLGW900/C</t>
  </si>
  <si>
    <t>LSBLGW880/C</t>
  </si>
  <si>
    <t>22027230000001</t>
  </si>
  <si>
    <t>LSBLGW1000/C</t>
  </si>
  <si>
    <t>22027230000002</t>
  </si>
  <si>
    <t>LSBLGW1200/C</t>
  </si>
  <si>
    <t>22027230000042</t>
  </si>
  <si>
    <t>LSBLGW1420/C</t>
  </si>
  <si>
    <t>22027230000041</t>
  </si>
  <si>
    <t>精密空调</t>
  </si>
  <si>
    <t>MAV006S1N2S</t>
  </si>
  <si>
    <t>MA0071N</t>
  </si>
  <si>
    <t>MAV008T1N2S</t>
  </si>
  <si>
    <t>MA0101N</t>
  </si>
  <si>
    <t>MAV013T1N2S</t>
  </si>
  <si>
    <t>MA0162N</t>
  </si>
  <si>
    <t>MAV018T1N2S</t>
  </si>
  <si>
    <t>MA0212N</t>
  </si>
  <si>
    <t>MVi-200WV2GN1(A)</t>
  </si>
  <si>
    <t>200WV2GN1(A)</t>
  </si>
  <si>
    <t>L2020033000002</t>
  </si>
  <si>
    <t>MVi-224WV2GN1(A)</t>
  </si>
  <si>
    <t>224WV2GN1(A)</t>
  </si>
  <si>
    <t>MVi-260WV2GN1(A)</t>
  </si>
  <si>
    <t>260WV2GN1(A)</t>
  </si>
  <si>
    <t>MVi-280WV2GN1(A)</t>
  </si>
  <si>
    <t>280WV2GN1(A)</t>
  </si>
  <si>
    <t>MVi-335WV2GN1(A)</t>
  </si>
  <si>
    <t xml:space="preserve"> 335WV2GN1(A)</t>
  </si>
  <si>
    <t>LSBLGW380/C（T3）</t>
  </si>
  <si>
    <t>Customize</t>
  </si>
  <si>
    <r>
      <rPr>
        <sz val="12"/>
        <rFont val="Arial Narrow"/>
        <family val="2"/>
      </rPr>
      <t>LSBLGW500/C</t>
    </r>
    <r>
      <rPr>
        <sz val="12"/>
        <rFont val="宋体"/>
        <family val="3"/>
        <charset val="134"/>
      </rPr>
      <t>（</t>
    </r>
    <r>
      <rPr>
        <sz val="12"/>
        <rFont val="Arial Narrow"/>
        <family val="2"/>
      </rPr>
      <t>T3</t>
    </r>
    <r>
      <rPr>
        <sz val="12"/>
        <rFont val="宋体"/>
        <family val="3"/>
        <charset val="134"/>
      </rPr>
      <t>）</t>
    </r>
  </si>
  <si>
    <t>LSBLGW500/C（T3）</t>
  </si>
  <si>
    <t>LSBLGW600/C（T3）</t>
  </si>
  <si>
    <t>LSBLGW760/C（T3）</t>
  </si>
  <si>
    <t>LSBLGW900/C（T3）</t>
  </si>
  <si>
    <t>LSBLGW1000/C（T3）</t>
  </si>
  <si>
    <t>LSBLGW1200/C（T3）</t>
  </si>
  <si>
    <t>LSBLGW1420/C（T3）</t>
  </si>
  <si>
    <t xml:space="preserve">LSBLG340/MCF  </t>
  </si>
  <si>
    <t>22027210000646</t>
  </si>
  <si>
    <t xml:space="preserve">LSBLG440/MCF </t>
  </si>
  <si>
    <t>22027210000633</t>
  </si>
  <si>
    <t>LSBLG540/MCF</t>
  </si>
  <si>
    <t>22027210000634</t>
  </si>
  <si>
    <t>LSBLG720/MCF</t>
  </si>
  <si>
    <t>22027210000636</t>
  </si>
  <si>
    <t>LSBLG805/MCF</t>
  </si>
  <si>
    <t>22027210000637</t>
  </si>
  <si>
    <t>LSBLG890/MCF</t>
  </si>
  <si>
    <t>22027210000645</t>
  </si>
  <si>
    <t>LSBLG1055/MCF</t>
  </si>
  <si>
    <t>22027210000638</t>
  </si>
  <si>
    <t>LSBLG1080/MCF</t>
  </si>
  <si>
    <t>22027210000007</t>
  </si>
  <si>
    <t xml:space="preserve">LSBLG1200/MCF  </t>
  </si>
  <si>
    <t>22027210000639</t>
  </si>
  <si>
    <t xml:space="preserve">LSBLG1300/MCF  </t>
  </si>
  <si>
    <t>22027210000640</t>
  </si>
  <si>
    <t>LSBLG1410/MCF</t>
  </si>
  <si>
    <t>22027210000642</t>
  </si>
  <si>
    <t>LSBLG1620/MCF </t>
  </si>
  <si>
    <t>22027210000644</t>
  </si>
  <si>
    <t>LSBLG1780/MCF  </t>
  </si>
  <si>
    <t>22027210000643</t>
  </si>
  <si>
    <t>SCWE70H-A</t>
  </si>
  <si>
    <t>SCWE90H-A</t>
  </si>
  <si>
    <t>SCWE100H-A</t>
  </si>
  <si>
    <t>SCWE110H-A</t>
  </si>
  <si>
    <t>SCWE130H-A</t>
  </si>
  <si>
    <t>SCWE150H-A</t>
  </si>
  <si>
    <t>SCWE170H-A</t>
  </si>
  <si>
    <t>SCWE200H-A</t>
  </si>
  <si>
    <t>SCWE210H-A</t>
  </si>
  <si>
    <t>SCWE230H-A</t>
  </si>
  <si>
    <t>SCWE220H-A</t>
  </si>
  <si>
    <t>SCWE270H-A</t>
  </si>
  <si>
    <t>SCWE300H-A</t>
  </si>
  <si>
    <t>SCWE350H-A</t>
  </si>
  <si>
    <t>SCWE390H-A</t>
  </si>
  <si>
    <t>SCWE420H-A</t>
  </si>
  <si>
    <t>SCWE470H-A</t>
  </si>
  <si>
    <t>rooftop</t>
  </si>
  <si>
    <t>MRC-062HWN1-R(C)</t>
  </si>
  <si>
    <t>MDRC-060HWN1</t>
  </si>
  <si>
    <t>22027710000348</t>
  </si>
  <si>
    <t>MRC-075HWN1-R(C )</t>
  </si>
  <si>
    <t>MDRC-075HWN1</t>
  </si>
  <si>
    <t>22027710000302</t>
  </si>
  <si>
    <t>MRC-085HWN1-R(C)</t>
  </si>
  <si>
    <t>MDRC-085HWN1</t>
  </si>
  <si>
    <t>22027710000349</t>
  </si>
  <si>
    <t>MRC-100HWN1-R(C)</t>
  </si>
  <si>
    <t>MDRC-100HWN1</t>
  </si>
  <si>
    <t>22027710000048</t>
  </si>
  <si>
    <t>MRC-125HWN1-R(C)</t>
  </si>
  <si>
    <t>MDRC-125HWN1</t>
  </si>
  <si>
    <t>22027710000164</t>
  </si>
  <si>
    <t>MRC-150HWN1-R(C)</t>
  </si>
  <si>
    <t>MDRC-150HWN1</t>
  </si>
  <si>
    <t>22027710000157</t>
  </si>
  <si>
    <t>MRC-175HWN1-R(C)</t>
  </si>
  <si>
    <t>MDRC-175HWN1</t>
  </si>
  <si>
    <t>22027710000111</t>
  </si>
  <si>
    <t>MRC-200HWN1-R(C)</t>
  </si>
  <si>
    <t>MDRC-200HWN1</t>
  </si>
  <si>
    <t>22027710000158</t>
  </si>
  <si>
    <t>MRC-250HWN1-R(C)</t>
  </si>
  <si>
    <t>MDRC-250HWN1</t>
  </si>
  <si>
    <t>22027710000289</t>
  </si>
  <si>
    <t>MRC-300HWN1-R(C)</t>
  </si>
  <si>
    <t>MDRC-300HWN1</t>
  </si>
  <si>
    <t>22027710000321</t>
  </si>
  <si>
    <t>MRCT-48CWN1-R(C)</t>
  </si>
  <si>
    <t>22027710000456</t>
  </si>
  <si>
    <t>MRCT-60CWN1-R(C)</t>
  </si>
  <si>
    <t>22027710000455</t>
  </si>
  <si>
    <t>MRCT-062CWN1-R(C)</t>
  </si>
  <si>
    <t>22027710000020</t>
  </si>
  <si>
    <t>MRCT-075CWN1-R(C)</t>
  </si>
  <si>
    <t>22027710000021</t>
  </si>
  <si>
    <t>MRCT-085CWN1-R(C)</t>
  </si>
  <si>
    <t>22027710000022</t>
  </si>
  <si>
    <t>MRCT-100CWN1-R(C)</t>
  </si>
  <si>
    <t>22027710000027</t>
  </si>
  <si>
    <t>MRCT-125CWN1-R(C)</t>
  </si>
  <si>
    <t>22027710000029</t>
  </si>
  <si>
    <t>MRCT-150CWN1-R(C)</t>
  </si>
  <si>
    <t>22027710000222</t>
  </si>
  <si>
    <t>MRCT-175CWN1-R(C)</t>
  </si>
  <si>
    <t>22027710000094</t>
  </si>
  <si>
    <t>MRCT-200CWN1-R(C)</t>
  </si>
  <si>
    <t>22027710000224</t>
  </si>
  <si>
    <t>MRCT-250CWN1-R(C)</t>
  </si>
  <si>
    <t>22027710000364</t>
  </si>
  <si>
    <t>MRCT-300CWN1-R(C)</t>
  </si>
  <si>
    <t>22027710000363</t>
  </si>
  <si>
    <t>ccu</t>
  </si>
  <si>
    <t>MCCU-03CN1</t>
  </si>
  <si>
    <t>MDCCU-03CN1</t>
  </si>
  <si>
    <t>22023016000280</t>
  </si>
  <si>
    <t>MCCU-05CN1</t>
  </si>
  <si>
    <t>MDCCU-05CN1</t>
  </si>
  <si>
    <t>MCCU-07CN1</t>
  </si>
  <si>
    <t>MDCCU-07CN1</t>
  </si>
  <si>
    <t>MCCU-10CN1</t>
  </si>
  <si>
    <t>MDCCU-10CN1</t>
  </si>
  <si>
    <t>22023016000228</t>
  </si>
  <si>
    <t>MCCU-14CN1</t>
  </si>
  <si>
    <t>MDCCU-14CN1</t>
  </si>
  <si>
    <t>22023016000227</t>
  </si>
  <si>
    <t>MCCU-16CN1</t>
  </si>
  <si>
    <t>MDCCU-16CN1</t>
  </si>
  <si>
    <t>22023016000232</t>
  </si>
  <si>
    <t>MCCU-22CN1</t>
  </si>
  <si>
    <t>MDCCU-22CN1</t>
  </si>
  <si>
    <t>22023016000259</t>
  </si>
  <si>
    <t>MCCU-28CN1</t>
  </si>
  <si>
    <t>MDCCU-28CN1</t>
  </si>
  <si>
    <t>22023016000247</t>
  </si>
  <si>
    <t>MCCU-35CN1</t>
  </si>
  <si>
    <t>MDCCU-35CN1</t>
  </si>
  <si>
    <t>22023016000244</t>
  </si>
  <si>
    <t>MCCU-45CN1</t>
  </si>
  <si>
    <t>MDCCU-45CN1</t>
  </si>
  <si>
    <t>22023016000255</t>
  </si>
  <si>
    <t>MCCU-53CN1</t>
  </si>
  <si>
    <t>MDCCU-53CN1</t>
  </si>
  <si>
    <t>22026166000003</t>
  </si>
  <si>
    <t>MCCU-61CN1</t>
  </si>
  <si>
    <t>MDCCU-61CN1</t>
  </si>
  <si>
    <t>MCCU-70CN1</t>
  </si>
  <si>
    <t>MDCCU-70CN1</t>
  </si>
  <si>
    <t>22026166000002</t>
  </si>
  <si>
    <t>MCCU-105CN1</t>
  </si>
  <si>
    <t>MDCCU-105CN1</t>
  </si>
  <si>
    <t>22026166000001</t>
  </si>
  <si>
    <t>unitary</t>
  </si>
  <si>
    <t>MFA-76CRN1</t>
  </si>
  <si>
    <t>MDFA-76CRN1</t>
  </si>
  <si>
    <t>22022211000266</t>
  </si>
  <si>
    <t>MFA3T-96CRN1</t>
  </si>
  <si>
    <t>MDFA-96CRN1</t>
  </si>
  <si>
    <t>22022211000627</t>
  </si>
  <si>
    <t>MHB-76CRN1</t>
  </si>
  <si>
    <t>MDHB-76CRN1</t>
  </si>
  <si>
    <t>22023011000823</t>
  </si>
  <si>
    <t>MHB1T-96CWN1</t>
  </si>
  <si>
    <t>MDHB-96CRN1</t>
  </si>
  <si>
    <t>22023011001614</t>
  </si>
  <si>
    <t>MTA-76CRN1</t>
  </si>
  <si>
    <t>MDTA-76CRN1</t>
  </si>
  <si>
    <t>22023011000886</t>
  </si>
  <si>
    <t>MTB1T-96CWN1</t>
  </si>
  <si>
    <t>MDTA-96CRN1</t>
  </si>
  <si>
    <t>22023011001615</t>
  </si>
  <si>
    <t>MTA-120CRN1</t>
  </si>
  <si>
    <t>MDTA-120CRN1</t>
  </si>
  <si>
    <t>22023011000873</t>
  </si>
  <si>
    <t>MOV-76CN1-C</t>
  </si>
  <si>
    <t>MDOV-76CN1</t>
  </si>
  <si>
    <t>MOVTA-96CN1-R</t>
  </si>
  <si>
    <t>MDOV-96CN1</t>
  </si>
  <si>
    <t>22023016000772</t>
  </si>
  <si>
    <t>MOV-120CN1-C</t>
  </si>
  <si>
    <t>MDOV-120CN1</t>
  </si>
  <si>
    <t>MFA-76HRN1</t>
  </si>
  <si>
    <t>MDFA-76HRN1</t>
  </si>
  <si>
    <t>22022211000282</t>
  </si>
  <si>
    <t>MFA3T-96HRN1</t>
  </si>
  <si>
    <t>MDFA-96HRN1</t>
  </si>
  <si>
    <t>22022211000628</t>
  </si>
  <si>
    <t>MHB-76HRN1</t>
  </si>
  <si>
    <t>MDHB-76HRN1</t>
  </si>
  <si>
    <t>22023011000821</t>
  </si>
  <si>
    <t>MHB1T-96HWN1</t>
  </si>
  <si>
    <t>MDHB-96HRN1</t>
  </si>
  <si>
    <t>22023011001616</t>
  </si>
  <si>
    <t>MTA-76HRN1</t>
  </si>
  <si>
    <t>MDTA-76HRN1</t>
  </si>
  <si>
    <t>22023011000893</t>
  </si>
  <si>
    <t>MTBT-96HWN1</t>
  </si>
  <si>
    <t>MDTA-96HRN1</t>
  </si>
  <si>
    <t>22023011001617</t>
  </si>
  <si>
    <t>MTA-120HRN1</t>
  </si>
  <si>
    <t>MDTA-120HRN1</t>
  </si>
  <si>
    <t>22023011000852</t>
  </si>
  <si>
    <t>MOV-76HN1-C</t>
  </si>
  <si>
    <t>MDOV-76HN1</t>
  </si>
  <si>
    <t>22023016000243</t>
  </si>
  <si>
    <t>MOVTA-96HN1-R</t>
  </si>
  <si>
    <t>MDOV-96HN1</t>
  </si>
  <si>
    <t>22023016000771</t>
  </si>
  <si>
    <t>MOV-120HN1-C</t>
  </si>
  <si>
    <t>MDOV-120HN1-C</t>
  </si>
  <si>
    <t>22023016000257</t>
  </si>
  <si>
    <t>MTA-150CRN1</t>
  </si>
  <si>
    <t>MDTA-150CRN1</t>
  </si>
  <si>
    <t>22022411000005</t>
  </si>
  <si>
    <t>2*1372</t>
  </si>
  <si>
    <t>MTB-76HWN1</t>
  </si>
  <si>
    <t>MDTB-76HWN1</t>
  </si>
  <si>
    <t>22023011000902</t>
  </si>
  <si>
    <t>MTB-120HWN1</t>
  </si>
  <si>
    <t>MDTB-120HWN1</t>
  </si>
  <si>
    <t>22023011000866</t>
  </si>
  <si>
    <t>MHB-76HWN1</t>
  </si>
  <si>
    <t>MDHB-76HWN1</t>
  </si>
  <si>
    <t>22023011000824</t>
  </si>
  <si>
    <t>MHA-150HWN1</t>
  </si>
  <si>
    <t>MDHA-150HWN1</t>
  </si>
  <si>
    <t>22023011000815</t>
  </si>
  <si>
    <t>MHA-192HWN1</t>
  </si>
  <si>
    <t>MDHA-192HWN1</t>
  </si>
  <si>
    <t>22023011000830</t>
  </si>
  <si>
    <t>MFA2-76HRN1</t>
  </si>
  <si>
    <t>MDFA2-76HRN1</t>
  </si>
  <si>
    <t>22022211000273</t>
  </si>
  <si>
    <t>MOV-76HN1-R</t>
  </si>
  <si>
    <t>MDOV-76HN1-R</t>
  </si>
  <si>
    <t>MOV-120HN1-R</t>
  </si>
  <si>
    <t>MDOV-120HN1</t>
  </si>
  <si>
    <t>22023016000233</t>
  </si>
  <si>
    <t>MOV-150HN1-R</t>
  </si>
  <si>
    <t>MDOV-150HN1-R</t>
  </si>
  <si>
    <t>MOV-192HN1-R</t>
  </si>
  <si>
    <t>MDOV-192HN1</t>
  </si>
  <si>
    <t>22023016000267</t>
  </si>
  <si>
    <t>MTB1T-96HWN1</t>
  </si>
  <si>
    <t>MDTC-96HWN1</t>
  </si>
  <si>
    <t>MDTD-96HWN1</t>
  </si>
  <si>
    <t>MDFA3-96HRN1</t>
  </si>
  <si>
    <t>MDOV-96HN1-R</t>
  </si>
  <si>
    <t>MTA-96HWAN1</t>
  </si>
  <si>
    <t>MHA-96HWAN1</t>
  </si>
  <si>
    <t>MFA-96HWAN1-R</t>
  </si>
  <si>
    <t>MQ4A-48HWAN1</t>
  </si>
  <si>
    <t>MOUB-96HD1N1-R</t>
  </si>
  <si>
    <t>22023016000222</t>
  </si>
  <si>
    <t>MHC-96HWD1N1(A)</t>
  </si>
  <si>
    <t>22023011000813</t>
  </si>
  <si>
    <t>MOUA-96HD1N1-R</t>
  </si>
  <si>
    <r>
      <rPr>
        <sz val="12"/>
        <rFont val="宋体"/>
        <family val="3"/>
        <charset val="134"/>
      </rPr>
      <t>F</t>
    </r>
    <r>
      <rPr>
        <sz val="12"/>
        <rFont val="宋体"/>
        <family val="3"/>
        <charset val="134"/>
      </rPr>
      <t>CU1</t>
    </r>
  </si>
  <si>
    <t>MKT2-200G30</t>
  </si>
  <si>
    <t>MDKT2-200G30</t>
  </si>
  <si>
    <t>22026211000028</t>
  </si>
  <si>
    <t>MKT2-300G30</t>
  </si>
  <si>
    <t>MDKT2-300G30</t>
  </si>
  <si>
    <t>22026211000067</t>
  </si>
  <si>
    <t>MKT2-400G30</t>
  </si>
  <si>
    <t>MDKT2-400G30</t>
  </si>
  <si>
    <t>22026211000187</t>
  </si>
  <si>
    <t>MKT2-500G30</t>
  </si>
  <si>
    <t>MDKT2-500G30</t>
  </si>
  <si>
    <t>22026211000119</t>
  </si>
  <si>
    <t>MKT2-600G30</t>
  </si>
  <si>
    <t>MDKT2-600G30</t>
  </si>
  <si>
    <t>22026211000185</t>
  </si>
  <si>
    <t>MKT2-800G30</t>
  </si>
  <si>
    <t>MDKT2-800G30</t>
  </si>
  <si>
    <t>22026211000024</t>
  </si>
  <si>
    <t>MKT2-1000G30</t>
  </si>
  <si>
    <t>MDKT2-1000G30</t>
  </si>
  <si>
    <t>22026211000236</t>
  </si>
  <si>
    <t>MKT2-1200G30</t>
  </si>
  <si>
    <t>MDKT2-1200G30</t>
  </si>
  <si>
    <t>22026211000171</t>
  </si>
  <si>
    <t>MKT2-1400G30</t>
  </si>
  <si>
    <t>MDKT2-1400G30</t>
  </si>
  <si>
    <t>22026211000106</t>
  </si>
  <si>
    <t>MKT2-200G50</t>
  </si>
  <si>
    <t>MDKT2-200G50</t>
  </si>
  <si>
    <t>MKT2-300G50</t>
  </si>
  <si>
    <t>MDKT2-300G50</t>
  </si>
  <si>
    <t>MKT2-400G50</t>
  </si>
  <si>
    <t>MDKT2-400G50</t>
  </si>
  <si>
    <t>MKT2-500G50</t>
  </si>
  <si>
    <t>MDKT2-500G50</t>
  </si>
  <si>
    <t>MKT2-600G50</t>
  </si>
  <si>
    <t>MDKT2-600G50</t>
  </si>
  <si>
    <t>MKT2-800G50</t>
  </si>
  <si>
    <t>MDKT2-800G50</t>
  </si>
  <si>
    <t>MKT2-1000G50</t>
  </si>
  <si>
    <t>MDKT2-1000G50</t>
  </si>
  <si>
    <t>MKT2-1200G50</t>
  </si>
  <si>
    <t>MDKT2-1200G50</t>
  </si>
  <si>
    <t>MKT2-1400G50</t>
  </si>
  <si>
    <t>MDKT2-1400G50</t>
  </si>
  <si>
    <t>MKT2-200EG30</t>
  </si>
  <si>
    <t>MDKT2-200EG30</t>
  </si>
  <si>
    <t>MKT2-300EG30</t>
  </si>
  <si>
    <t>MDKT2-300EG30</t>
  </si>
  <si>
    <t>MKT2-400EG30</t>
  </si>
  <si>
    <t>MDKT2-400EG30</t>
  </si>
  <si>
    <t>MKT2-500EG30</t>
  </si>
  <si>
    <t>MDKT2-500EG30</t>
  </si>
  <si>
    <t>MKT2-600EG30</t>
  </si>
  <si>
    <t>MDKT2-600EG30</t>
  </si>
  <si>
    <t>MKT2-800EG30</t>
  </si>
  <si>
    <t>MDKT2-800EG30</t>
  </si>
  <si>
    <t>MKT2-1000EG30</t>
  </si>
  <si>
    <t>MDKT2-1000EG30</t>
  </si>
  <si>
    <t>MKT2-1200EG30</t>
  </si>
  <si>
    <t>MDKT2-1200EG30</t>
  </si>
  <si>
    <t>MKT2-1400EG30</t>
  </si>
  <si>
    <t>MDKT2-1400EG30</t>
  </si>
  <si>
    <t>MKT2-200EG50</t>
  </si>
  <si>
    <t>MDKT2-200EG50</t>
  </si>
  <si>
    <t>MKT2-300EG50</t>
  </si>
  <si>
    <t>MDKT2-300EG50</t>
  </si>
  <si>
    <t>MKT2-400EG50</t>
  </si>
  <si>
    <t>MDKT2-400EG50</t>
  </si>
  <si>
    <t>MKT2-500EG50</t>
  </si>
  <si>
    <t>MDKT2-500EG50</t>
  </si>
  <si>
    <t>MKT2-600EG50</t>
  </si>
  <si>
    <t>MDKT2-600EG50</t>
  </si>
  <si>
    <t>MKT2-800EG50</t>
  </si>
  <si>
    <t>MDKT2-800EG50</t>
  </si>
  <si>
    <t>MKT2-1000EG50</t>
  </si>
  <si>
    <t>MDKT2-1000EG50</t>
  </si>
  <si>
    <t>MKT2-1200EG50</t>
  </si>
  <si>
    <t>MDKT2-1200EG50</t>
  </si>
  <si>
    <t>MKT2-1400EG50</t>
  </si>
  <si>
    <t>MDKT2-1400EG50</t>
  </si>
  <si>
    <t>MKT3-200G12</t>
  </si>
  <si>
    <t>MDKT3-200G12</t>
  </si>
  <si>
    <t>22026211000176</t>
  </si>
  <si>
    <t>MKT3-300G12</t>
  </si>
  <si>
    <t>MDKT3-300G12</t>
  </si>
  <si>
    <t>22026211000152</t>
  </si>
  <si>
    <t>MKT3-400G12</t>
  </si>
  <si>
    <t>MDKT3-400G12</t>
  </si>
  <si>
    <t>22026211000231</t>
  </si>
  <si>
    <t>MKT3-500G12</t>
  </si>
  <si>
    <t>MDKT3-500G12</t>
  </si>
  <si>
    <t>22026211000240</t>
  </si>
  <si>
    <t>MKT3-600G12</t>
  </si>
  <si>
    <t>MDKT3-600G12</t>
  </si>
  <si>
    <t>22026211000142</t>
  </si>
  <si>
    <t>MKT3-800G12</t>
  </si>
  <si>
    <t>MDKT3-800G12</t>
  </si>
  <si>
    <t>22026211000143</t>
  </si>
  <si>
    <t>MKT3-1000G12</t>
  </si>
  <si>
    <t>MDKT3-1000G12</t>
  </si>
  <si>
    <t>22026211000041</t>
  </si>
  <si>
    <t>MKT3-1200G12</t>
  </si>
  <si>
    <t>MDKT3-1200G12</t>
  </si>
  <si>
    <t>22026211000234</t>
  </si>
  <si>
    <t>MKT3-1400G12</t>
  </si>
  <si>
    <t>MDKT3-1400G12</t>
  </si>
  <si>
    <t>22026211000096</t>
  </si>
  <si>
    <t>MKT3-200G30</t>
  </si>
  <si>
    <t>MDKT3-200G30</t>
  </si>
  <si>
    <t>22026211000013</t>
  </si>
  <si>
    <t>MKT3-300G30</t>
  </si>
  <si>
    <t>MDKT3-300G30</t>
  </si>
  <si>
    <t>22026211000125</t>
  </si>
  <si>
    <t>MKT3-400G30</t>
  </si>
  <si>
    <t>MDKT3-400G30</t>
  </si>
  <si>
    <t>22026211000004</t>
  </si>
  <si>
    <t>MKT3-500G30</t>
  </si>
  <si>
    <t>MDKT3-500G30</t>
  </si>
  <si>
    <t>22026211000034</t>
  </si>
  <si>
    <t>MKT3-600G30</t>
  </si>
  <si>
    <t>MDKT3-600G30</t>
  </si>
  <si>
    <t>22026211000005</t>
  </si>
  <si>
    <t>MKT3-800G30</t>
  </si>
  <si>
    <t>MDKT3-800G30</t>
  </si>
  <si>
    <t>22026211000091</t>
  </si>
  <si>
    <t>MKT3-1000G30</t>
  </si>
  <si>
    <t>MDKT3-1000G30</t>
  </si>
  <si>
    <t>22026211000109</t>
  </si>
  <si>
    <t>MKT3-1200G30</t>
  </si>
  <si>
    <t>MDKT3-1200G30</t>
  </si>
  <si>
    <t>22026211000068</t>
  </si>
  <si>
    <t>MKT3-1400G30</t>
  </si>
  <si>
    <t>MDKT3-1400G30</t>
  </si>
  <si>
    <t>22026211000170</t>
  </si>
  <si>
    <t>MKT3-200G50</t>
  </si>
  <si>
    <t>MDKT3-200G50</t>
  </si>
  <si>
    <t>MKT3-300G50</t>
  </si>
  <si>
    <t>MDKT3-300G50</t>
  </si>
  <si>
    <t>MKT3-400G50</t>
  </si>
  <si>
    <t>MDKT3-400G50</t>
  </si>
  <si>
    <t>MKT3-500G50</t>
  </si>
  <si>
    <t>MDKT3-500G50</t>
  </si>
  <si>
    <t>MKT3-600G50</t>
  </si>
  <si>
    <t>MDKT3-600G50</t>
  </si>
  <si>
    <t>MKT3-800G50</t>
  </si>
  <si>
    <t>MDKT3-800G50</t>
  </si>
  <si>
    <t>MKT3-1000G50</t>
  </si>
  <si>
    <t>MDKT3-1000G50</t>
  </si>
  <si>
    <t>MKT3-1200G50</t>
  </si>
  <si>
    <t>MDKT3-1200G50</t>
  </si>
  <si>
    <t>MKT3-1400G50</t>
  </si>
  <si>
    <t>MDKT3-1400G50</t>
  </si>
  <si>
    <t>MKT3-200EG30</t>
  </si>
  <si>
    <t>MDKT3-200EG30</t>
  </si>
  <si>
    <t>MKT3-300EG30</t>
  </si>
  <si>
    <t>MDKT3-300EG30</t>
  </si>
  <si>
    <t>MKT3-400EG30</t>
  </si>
  <si>
    <t>MDKT3-400EG30</t>
  </si>
  <si>
    <t>MKT3-500EG30</t>
  </si>
  <si>
    <t>MDKT3-500EG30</t>
  </si>
  <si>
    <t>MKT3-600EG30</t>
  </si>
  <si>
    <t>MDKT3-600EG30</t>
  </si>
  <si>
    <t>MKT3-800EG30</t>
  </si>
  <si>
    <t>MDKT3-800EG30</t>
  </si>
  <si>
    <t>MKT3-1000EG30</t>
  </si>
  <si>
    <t>MDKT3-1000EG30</t>
  </si>
  <si>
    <t>MKT3-1200EG30</t>
  </si>
  <si>
    <t>MDKT3-1200EG30</t>
  </si>
  <si>
    <t>MKT3-1400EG30</t>
  </si>
  <si>
    <t>MDKT3-1400EG30</t>
  </si>
  <si>
    <t>MKT3-200EG50</t>
  </si>
  <si>
    <t>MDKT3-200EG50</t>
  </si>
  <si>
    <t>MKT3-300EG50</t>
  </si>
  <si>
    <t>MDKT3-300EG50</t>
  </si>
  <si>
    <t>MKT3-400EG50</t>
  </si>
  <si>
    <t>MDKT3-400EG50</t>
  </si>
  <si>
    <t>MKT3-500EG50</t>
  </si>
  <si>
    <t>MDKT3-500EG50</t>
  </si>
  <si>
    <t>MKT3-600EG50</t>
  </si>
  <si>
    <t>MDKT3-600EG50</t>
  </si>
  <si>
    <t>MKT3-800EG50</t>
  </si>
  <si>
    <t>MDKT3-800EG50</t>
  </si>
  <si>
    <t>MKT3-1000EG50</t>
  </si>
  <si>
    <t>MDKT3-1000EG50</t>
  </si>
  <si>
    <t>MKT3-1200EG50</t>
  </si>
  <si>
    <t>MDKT3-1200EG50</t>
  </si>
  <si>
    <t>MKT3-1400EG50</t>
  </si>
  <si>
    <t>MDKT3-1400EG50</t>
  </si>
  <si>
    <t>MKT3H-800G70</t>
  </si>
  <si>
    <t>MDKT3H-800G70</t>
  </si>
  <si>
    <t>22026211000149</t>
  </si>
  <si>
    <t>MKT3H-1000G70</t>
  </si>
  <si>
    <t>MDKT3H-1000G70</t>
  </si>
  <si>
    <t>22026211000098</t>
  </si>
  <si>
    <t>MKT3H-1200G70</t>
  </si>
  <si>
    <t>MDKT3H-1200G70</t>
  </si>
  <si>
    <t>22026211000037</t>
  </si>
  <si>
    <t>MKT3H-1400G70</t>
  </si>
  <si>
    <t>MDKT3H-1400G70</t>
  </si>
  <si>
    <t>22026211000225</t>
  </si>
  <si>
    <t>MKT3H-1600G100</t>
  </si>
  <si>
    <t>MDKT3H-1600G100</t>
  </si>
  <si>
    <t>22026211000030</t>
  </si>
  <si>
    <t>MKT3H-1800G100</t>
  </si>
  <si>
    <t>MDKT3H-1800G100</t>
  </si>
  <si>
    <t>22026211000132</t>
  </si>
  <si>
    <t>MKT3H-2200G100</t>
  </si>
  <si>
    <t>MDKT3H-2200G100</t>
  </si>
  <si>
    <t>22026211000103</t>
  </si>
  <si>
    <t>MKT3H-800EG70</t>
  </si>
  <si>
    <t>MDKT3H-800EG70</t>
  </si>
  <si>
    <t>MKT3H-1000EG70</t>
  </si>
  <si>
    <t>MDKT3H-1000EG70</t>
  </si>
  <si>
    <t>MKT3H-1200EG70</t>
  </si>
  <si>
    <t>MDKT3H-1200EG70</t>
  </si>
  <si>
    <t>MKT3H-1400EG70</t>
  </si>
  <si>
    <t>MDKT3H-1400EG70</t>
  </si>
  <si>
    <t>MKT3H-1600EG100</t>
  </si>
  <si>
    <t>MDKT3H-1600EG100</t>
  </si>
  <si>
    <t>MKT3H-1800EG100</t>
  </si>
  <si>
    <t>MDKT3H-1800EG100</t>
  </si>
  <si>
    <t>MKT3H-2200EG100</t>
  </si>
  <si>
    <t>MDKT3H-2200EG100</t>
  </si>
  <si>
    <t>MKT3-200FG30</t>
  </si>
  <si>
    <t>MDKT3-200FG30</t>
  </si>
  <si>
    <t>22026211000085</t>
  </si>
  <si>
    <t>MKT3-300FG30</t>
  </si>
  <si>
    <t>MDKT3-300FG30</t>
  </si>
  <si>
    <t>22026211000226</t>
  </si>
  <si>
    <t>MKT3-400FG30</t>
  </si>
  <si>
    <t>MDKT3-400FG30</t>
  </si>
  <si>
    <t>22026211000138</t>
  </si>
  <si>
    <t>MKT3-500FG30</t>
  </si>
  <si>
    <t>MDKT3-500FG30</t>
  </si>
  <si>
    <t>22026211000221</t>
  </si>
  <si>
    <t>MKT3-600FG30</t>
  </si>
  <si>
    <t>MDKT3-600FG30</t>
  </si>
  <si>
    <t>22026211000063</t>
  </si>
  <si>
    <t>MKT3-800FG30</t>
  </si>
  <si>
    <t>MDKT3-800FG30</t>
  </si>
  <si>
    <t>22026211000141</t>
  </si>
  <si>
    <t>MKT3-1000FG30</t>
  </si>
  <si>
    <t>MDKT3-1000FG30</t>
  </si>
  <si>
    <t>22026211000010</t>
  </si>
  <si>
    <t>MKT3-1200FG30</t>
  </si>
  <si>
    <t>MDKT3-1200FG30</t>
  </si>
  <si>
    <t>22026211000110</t>
  </si>
  <si>
    <t>MKT3-1400FG30</t>
  </si>
  <si>
    <t>MDKT3-1400FG30</t>
  </si>
  <si>
    <t>22026211000230</t>
  </si>
  <si>
    <t>MKT3-200FG50</t>
  </si>
  <si>
    <t>MDKT3-200FG50</t>
  </si>
  <si>
    <t>MKT3-300FG50</t>
  </si>
  <si>
    <t>MDKT3-300FG50</t>
  </si>
  <si>
    <t>MKT3-400FG50</t>
  </si>
  <si>
    <t>MDKT3-400FG50</t>
  </si>
  <si>
    <t>MKT3-500FG50</t>
  </si>
  <si>
    <t>MDKT3-500FG50</t>
  </si>
  <si>
    <t>MKT3-600FG50</t>
  </si>
  <si>
    <t>MDKT3-600FG50</t>
  </si>
  <si>
    <t>MKT3-800FG50</t>
  </si>
  <si>
    <t>MDKT3-800FG50</t>
  </si>
  <si>
    <t>MKT3-1000FG50</t>
  </si>
  <si>
    <t>MDKT3-1000FG50</t>
  </si>
  <si>
    <t>MKT3-1200FG50</t>
  </si>
  <si>
    <t>MDKT3-1200FG50</t>
  </si>
  <si>
    <t>MKT3-1400FG50</t>
  </si>
  <si>
    <t>MDKT3-1400FG50</t>
  </si>
  <si>
    <t>MKT4-200G30</t>
  </si>
  <si>
    <t>MDKT4-200G30</t>
  </si>
  <si>
    <t>22026211000242</t>
  </si>
  <si>
    <t>MKT4-300G30</t>
  </si>
  <si>
    <t>MDKT4-300G30</t>
  </si>
  <si>
    <t>22026211000001</t>
  </si>
  <si>
    <t>MKT4-400G30</t>
  </si>
  <si>
    <t>MDKT4-400G30</t>
  </si>
  <si>
    <t>22026211000020</t>
  </si>
  <si>
    <t>MKT4-500G30</t>
  </si>
  <si>
    <t>MDKT4-500G30</t>
  </si>
  <si>
    <t>22026211000177</t>
  </si>
  <si>
    <t>MKT4-600G30</t>
  </si>
  <si>
    <t>MDKT4-600G30</t>
  </si>
  <si>
    <t>22026211000180</t>
  </si>
  <si>
    <t>MKT4-800G30</t>
  </si>
  <si>
    <t>MDKT4-800G30</t>
  </si>
  <si>
    <t>22026211000016</t>
  </si>
  <si>
    <t>MKT4-1000G30</t>
  </si>
  <si>
    <t>MDKT4-1000G30</t>
  </si>
  <si>
    <t>22026211000097</t>
  </si>
  <si>
    <t>MKT4-1200G30</t>
  </si>
  <si>
    <t>MDKT4-1200G30</t>
  </si>
  <si>
    <t>22026211000090</t>
  </si>
  <si>
    <t>MKT4-1400G30</t>
  </si>
  <si>
    <t>MDKT4-1400G30</t>
  </si>
  <si>
    <t>22026211000179</t>
  </si>
  <si>
    <t>MKT4-200G50</t>
  </si>
  <si>
    <t>MDKT4-200G50</t>
  </si>
  <si>
    <t>MKT4-300G50</t>
  </si>
  <si>
    <t>MDKT4-300G50</t>
  </si>
  <si>
    <t>MKT4-400G50</t>
  </si>
  <si>
    <t>MDKT4-400G50</t>
  </si>
  <si>
    <t>MKT4-500G50</t>
  </si>
  <si>
    <t>MDKT4-500G50</t>
  </si>
  <si>
    <t>MKT4-600G50</t>
  </si>
  <si>
    <t>MDKT4-600G50</t>
  </si>
  <si>
    <t>MKT4-800G50</t>
  </si>
  <si>
    <t>MDKT4-800G50</t>
  </si>
  <si>
    <t>MKT4-1000G50</t>
  </si>
  <si>
    <t>MDKT4-1000G50</t>
  </si>
  <si>
    <t>MKT4-1200G50</t>
  </si>
  <si>
    <t>MDKT4-1200G50</t>
  </si>
  <si>
    <t>MKT4-1400G50</t>
  </si>
  <si>
    <t>MDKT4-1400G50</t>
  </si>
  <si>
    <r>
      <rPr>
        <sz val="12"/>
        <rFont val="宋体"/>
        <family val="3"/>
        <charset val="134"/>
      </rPr>
      <t>F</t>
    </r>
    <r>
      <rPr>
        <sz val="12"/>
        <rFont val="宋体"/>
        <family val="3"/>
        <charset val="134"/>
      </rPr>
      <t>CU CASSETTE</t>
    </r>
  </si>
  <si>
    <t>MKD-300</t>
  </si>
  <si>
    <t>MDKD-300R</t>
  </si>
  <si>
    <t>22026212000006</t>
  </si>
  <si>
    <t>MKD-400</t>
  </si>
  <si>
    <t>MDKD-400R</t>
  </si>
  <si>
    <t>22026212000012</t>
  </si>
  <si>
    <t>MKD-450</t>
  </si>
  <si>
    <t>MDKD-450R</t>
  </si>
  <si>
    <t>MKD-500</t>
  </si>
  <si>
    <t>MDKD-500R</t>
  </si>
  <si>
    <t>22026212000027</t>
  </si>
  <si>
    <t>T-MBQ4-03B</t>
  </si>
  <si>
    <t>MDV-MBQ4-03B</t>
  </si>
  <si>
    <t>12126200000215</t>
  </si>
  <si>
    <t>MKA-600R</t>
  </si>
  <si>
    <t>MDKA-600R</t>
  </si>
  <si>
    <t>22026212000028</t>
  </si>
  <si>
    <t>MKA-750R</t>
  </si>
  <si>
    <t>MDKA-750R</t>
  </si>
  <si>
    <t>22026212000004</t>
  </si>
  <si>
    <t>MKA-850R</t>
  </si>
  <si>
    <t>MDKA-850R</t>
  </si>
  <si>
    <t>22026212000053</t>
  </si>
  <si>
    <t>MKA-950R</t>
  </si>
  <si>
    <t>MDKA-950R</t>
  </si>
  <si>
    <t>22026212000023</t>
  </si>
  <si>
    <t>MKA-1200R</t>
  </si>
  <si>
    <t>MDKA-1200R</t>
  </si>
  <si>
    <t>22026212000034</t>
  </si>
  <si>
    <t>MKA-1500R</t>
  </si>
  <si>
    <t>MDKA-1500R</t>
  </si>
  <si>
    <t>T-MBQ4-02C</t>
  </si>
  <si>
    <t>MDV-MBQ4-02C</t>
  </si>
  <si>
    <t>12112900000322</t>
  </si>
  <si>
    <t>MKC-300R-B</t>
  </si>
  <si>
    <t>MDKC-300R-B</t>
  </si>
  <si>
    <t>22026212000010</t>
  </si>
  <si>
    <t>MKC-400R-B</t>
  </si>
  <si>
    <t>MDKC-400R</t>
  </si>
  <si>
    <t>MKC-V600R-B</t>
  </si>
  <si>
    <t>22026212000071</t>
  </si>
  <si>
    <t>MKD-300S</t>
  </si>
  <si>
    <t>MDKD-300S</t>
  </si>
  <si>
    <t>22026212000059</t>
  </si>
  <si>
    <t>MKD-400S</t>
  </si>
  <si>
    <t>MDKD-400S</t>
  </si>
  <si>
    <t>22026212000055</t>
  </si>
  <si>
    <t>MKD-450S</t>
  </si>
  <si>
    <t>MDKD-450S</t>
  </si>
  <si>
    <t>MKD-500S</t>
  </si>
  <si>
    <t>MDKD-500S</t>
  </si>
  <si>
    <t>22026212000008</t>
  </si>
  <si>
    <t>MKA-600F</t>
  </si>
  <si>
    <t>MDKA-600F</t>
  </si>
  <si>
    <t>22026212000031</t>
  </si>
  <si>
    <t>MKA-750F</t>
  </si>
  <si>
    <t>MDKA-750F</t>
  </si>
  <si>
    <t>22026212000041</t>
  </si>
  <si>
    <t>MKA-850F</t>
  </si>
  <si>
    <t>MDKA-850F</t>
  </si>
  <si>
    <t>22026212000009</t>
  </si>
  <si>
    <t>MKA-950F</t>
  </si>
  <si>
    <t>MDKA-950F</t>
  </si>
  <si>
    <t>22026212000003</t>
  </si>
  <si>
    <t>MKA-1200F</t>
  </si>
  <si>
    <t>MDKA-1200F</t>
  </si>
  <si>
    <t>22026212000037</t>
  </si>
  <si>
    <t>MKA-1500F</t>
  </si>
  <si>
    <t>MDKA-1500F</t>
  </si>
  <si>
    <t>22026212000001</t>
  </si>
  <si>
    <t>MBQ1-01D</t>
  </si>
  <si>
    <r>
      <rPr>
        <sz val="12"/>
        <rFont val="宋体"/>
        <family val="3"/>
        <charset val="134"/>
      </rPr>
      <t>F</t>
    </r>
    <r>
      <rPr>
        <sz val="12"/>
        <rFont val="宋体"/>
        <family val="3"/>
        <charset val="134"/>
      </rPr>
      <t>CU-3</t>
    </r>
  </si>
  <si>
    <t>MKH4-150</t>
  </si>
  <si>
    <t>MDKH4-150</t>
  </si>
  <si>
    <t>MKH4-250</t>
  </si>
  <si>
    <t>MDKH4-250</t>
  </si>
  <si>
    <t>MKH4-300</t>
  </si>
  <si>
    <t>MDKH4-300</t>
  </si>
  <si>
    <t>MKH4-400</t>
  </si>
  <si>
    <t>MDKH4-400</t>
  </si>
  <si>
    <t>MKH4-450</t>
  </si>
  <si>
    <t>MDKH4-450</t>
  </si>
  <si>
    <t>MKH4-500</t>
  </si>
  <si>
    <t>MDKH4-500</t>
  </si>
  <si>
    <t>MKH4-600</t>
  </si>
  <si>
    <t>MDKH4-600</t>
  </si>
  <si>
    <t>MKH4-800</t>
  </si>
  <si>
    <t>MDKH4-800</t>
  </si>
  <si>
    <t>MKH4-900</t>
  </si>
  <si>
    <t>MDKH4-900</t>
  </si>
  <si>
    <t>MKH5-150</t>
  </si>
  <si>
    <t>MDKH5-150</t>
  </si>
  <si>
    <t>MKH5-250</t>
  </si>
  <si>
    <t>MDKH5-250</t>
  </si>
  <si>
    <t>MKH5-300</t>
  </si>
  <si>
    <t>MDKH5-300</t>
  </si>
  <si>
    <t>MKH5-400</t>
  </si>
  <si>
    <t>MDKH5-400</t>
  </si>
  <si>
    <t>MKH5-450</t>
  </si>
  <si>
    <t>MDKH5-450</t>
  </si>
  <si>
    <t>MKH5-500</t>
  </si>
  <si>
    <t>MDKH5-500</t>
  </si>
  <si>
    <t>MKH5-600</t>
  </si>
  <si>
    <t>MDKH5-600</t>
  </si>
  <si>
    <t>MKH5-800</t>
  </si>
  <si>
    <t>MDKH5-800</t>
  </si>
  <si>
    <t>MKH5-900</t>
  </si>
  <si>
    <t>MDKH5-900</t>
  </si>
  <si>
    <t>MKH3-150</t>
  </si>
  <si>
    <t>MDKH3-150</t>
  </si>
  <si>
    <t>22026214000018</t>
  </si>
  <si>
    <t>MKH3-250</t>
  </si>
  <si>
    <t>MDKH3-250</t>
  </si>
  <si>
    <t>22026214000011</t>
  </si>
  <si>
    <t>MKH3-300</t>
  </si>
  <si>
    <t>MDKH3-300</t>
  </si>
  <si>
    <t>22026214000001</t>
  </si>
  <si>
    <t>MKH3-400</t>
  </si>
  <si>
    <t>MDKH3-400</t>
  </si>
  <si>
    <t>22026214000017</t>
  </si>
  <si>
    <t>MKH3-450</t>
  </si>
  <si>
    <t>MDKH3-450</t>
  </si>
  <si>
    <t>22026214000006</t>
  </si>
  <si>
    <t>MKH3-500</t>
  </si>
  <si>
    <t>MDKH3-500</t>
  </si>
  <si>
    <t>22026214000007</t>
  </si>
  <si>
    <t>MKH3-600</t>
  </si>
  <si>
    <t>MDKH3-600</t>
  </si>
  <si>
    <t>22026214000016</t>
  </si>
  <si>
    <t>MKH3-800</t>
  </si>
  <si>
    <t>MDKH3-800</t>
  </si>
  <si>
    <t>22026214000027</t>
  </si>
  <si>
    <t>MKH3-900</t>
  </si>
  <si>
    <t>MDKH3-900</t>
  </si>
  <si>
    <t>22026214000008</t>
  </si>
  <si>
    <t>MKF4-150</t>
  </si>
  <si>
    <t>MDKF4-150</t>
  </si>
  <si>
    <t>MKF4-250</t>
  </si>
  <si>
    <t>MDKF4-250</t>
  </si>
  <si>
    <t>MKF4-300</t>
  </si>
  <si>
    <t>MDKF4-300</t>
  </si>
  <si>
    <t>MKF4-400</t>
  </si>
  <si>
    <t>MDKF4-400</t>
  </si>
  <si>
    <t>MKF4-450</t>
  </si>
  <si>
    <t>MDKF4-450</t>
  </si>
  <si>
    <t>MKF4-500</t>
  </si>
  <si>
    <t>MDKF4-500</t>
  </si>
  <si>
    <t>MKF4-600</t>
  </si>
  <si>
    <t>MDKF4-600</t>
  </si>
  <si>
    <t>MKF4-800</t>
  </si>
  <si>
    <t>MDKF4-800</t>
  </si>
  <si>
    <t>MKF4-900</t>
  </si>
  <si>
    <t>MDKF4-900</t>
  </si>
  <si>
    <t>MKF5-150</t>
  </si>
  <si>
    <t>MDKF5-150</t>
  </si>
  <si>
    <t>MKF5-250</t>
  </si>
  <si>
    <t>MDKF5-250</t>
  </si>
  <si>
    <t>MKF5-300</t>
  </si>
  <si>
    <t>MDKF5-300</t>
  </si>
  <si>
    <t>MKF5-400</t>
  </si>
  <si>
    <t>MDKF5-400</t>
  </si>
  <si>
    <t>MKF5-450</t>
  </si>
  <si>
    <t>MDKF5-450</t>
  </si>
  <si>
    <t>MKF5-500</t>
  </si>
  <si>
    <t>MDKF5-500</t>
  </si>
  <si>
    <t>MKF5-600</t>
  </si>
  <si>
    <t>MDKF5-600</t>
  </si>
  <si>
    <t>MKF5-800</t>
  </si>
  <si>
    <t>MDKF5-800</t>
  </si>
  <si>
    <t>MKF5-900</t>
  </si>
  <si>
    <t>MDKF5-900</t>
  </si>
  <si>
    <t>MKF3-150</t>
  </si>
  <si>
    <t>MDKF3-150</t>
  </si>
  <si>
    <t>MKF3-250</t>
  </si>
  <si>
    <t>MDKF3-250</t>
  </si>
  <si>
    <t>MKF3-300</t>
  </si>
  <si>
    <t>MDKF3-300</t>
  </si>
  <si>
    <t>MKF3-400</t>
  </si>
  <si>
    <t>MDKF3-400</t>
  </si>
  <si>
    <t>MKF3-450</t>
  </si>
  <si>
    <t>MDKF3-450</t>
  </si>
  <si>
    <t>MKF3-500</t>
  </si>
  <si>
    <t>MDKF3-500</t>
  </si>
  <si>
    <t>MKF3-600</t>
  </si>
  <si>
    <t>MDKF3-600</t>
  </si>
  <si>
    <t>MKF3-800</t>
  </si>
  <si>
    <t>MDKF3-800</t>
  </si>
  <si>
    <t>MKF3-900</t>
  </si>
  <si>
    <t>MDKF3-900</t>
  </si>
  <si>
    <t>MKG-250</t>
  </si>
  <si>
    <t>MDKG-250</t>
  </si>
  <si>
    <t>22026213000001</t>
  </si>
  <si>
    <t>MKG-300</t>
  </si>
  <si>
    <t>MDKG-300</t>
  </si>
  <si>
    <t>22026213000002</t>
  </si>
  <si>
    <t>MKG-400</t>
  </si>
  <si>
    <t>MDKG-400</t>
  </si>
  <si>
    <t>22026213000008</t>
  </si>
  <si>
    <t>MKG-500</t>
  </si>
  <si>
    <t>MDKG-500</t>
  </si>
  <si>
    <t>22026213000005</t>
  </si>
  <si>
    <t>MKG-600</t>
  </si>
  <si>
    <t>MDKG-600</t>
  </si>
  <si>
    <t>22026213000006</t>
  </si>
  <si>
    <t>MKG-250R3</t>
  </si>
  <si>
    <t>MDKG-250R3</t>
  </si>
  <si>
    <t>22026213000009</t>
  </si>
  <si>
    <t>MKG-300R3</t>
  </si>
  <si>
    <t>MDKG-300R3</t>
  </si>
  <si>
    <t>22026213000010</t>
  </si>
  <si>
    <t>MKG-400R3</t>
  </si>
  <si>
    <t>MDKG-400R3</t>
  </si>
  <si>
    <t>22026213000007</t>
  </si>
  <si>
    <t>MKG-500R3</t>
  </si>
  <si>
    <t>MDKG-500R3</t>
  </si>
  <si>
    <t>22026213000004</t>
  </si>
  <si>
    <t>MKG-600R3</t>
  </si>
  <si>
    <t>MDKG-600R3</t>
  </si>
  <si>
    <t>22026213000003</t>
  </si>
  <si>
    <t>MKH2-150-R3</t>
  </si>
  <si>
    <t>MDKH2-150-R3</t>
  </si>
  <si>
    <t>22026214000107</t>
  </si>
  <si>
    <t>MKH2-250-R3</t>
  </si>
  <si>
    <t>MDKH2-250-R3</t>
  </si>
  <si>
    <t>22026214000109</t>
  </si>
  <si>
    <t xml:space="preserve">MKH2-350-R3 </t>
  </si>
  <si>
    <t>MDKH2-350-R3</t>
  </si>
  <si>
    <t>22026214000110</t>
  </si>
  <si>
    <t xml:space="preserve">MKH2-500-R3 </t>
  </si>
  <si>
    <t>MDKH2-500-R3</t>
  </si>
  <si>
    <t>22026214000116</t>
  </si>
  <si>
    <t xml:space="preserve">MKH2-700-R3 </t>
  </si>
  <si>
    <t>MDKH2-700-R3</t>
  </si>
  <si>
    <t>22026214000115</t>
  </si>
  <si>
    <t xml:space="preserve">MKH2-800-R3 </t>
  </si>
  <si>
    <t>MDKH2-800-R3</t>
  </si>
  <si>
    <t>22026214000117</t>
  </si>
  <si>
    <t>MKH2-150-R4</t>
  </si>
  <si>
    <t>MDKH2-150-R4</t>
  </si>
  <si>
    <t>22026214000108</t>
  </si>
  <si>
    <t>MKH2-250-R4</t>
  </si>
  <si>
    <t>MDKH2-250-R4</t>
  </si>
  <si>
    <t>22026214000111</t>
  </si>
  <si>
    <t xml:space="preserve">MKH2-350-R4 </t>
  </si>
  <si>
    <t>MDKH2-350-R4</t>
  </si>
  <si>
    <t>22026214000112</t>
  </si>
  <si>
    <t xml:space="preserve">MKH2-500-R4 </t>
  </si>
  <si>
    <t>MDKH2-500-R4</t>
  </si>
  <si>
    <t>22026214000114</t>
  </si>
  <si>
    <t xml:space="preserve">MKH2-700-R4 </t>
  </si>
  <si>
    <t>MDKH2-700-R4</t>
  </si>
  <si>
    <t>22026214000113</t>
  </si>
  <si>
    <t xml:space="preserve">MKH2-800-R4 </t>
  </si>
  <si>
    <t>MDKH2-800-R4</t>
  </si>
  <si>
    <t>22026214000118</t>
  </si>
  <si>
    <t>12126200000334</t>
  </si>
  <si>
    <t>MKH3-150-R3</t>
  </si>
  <si>
    <t>MDKH3-150-R3</t>
  </si>
  <si>
    <t>MKH3-250-R3</t>
  </si>
  <si>
    <t>MDKH3-250-R3</t>
  </si>
  <si>
    <t xml:space="preserve">MKH3-350-R3 </t>
  </si>
  <si>
    <t xml:space="preserve">MDKH3-350-R3 </t>
  </si>
  <si>
    <t xml:space="preserve">MKH3-500-R3 </t>
  </si>
  <si>
    <t xml:space="preserve">MDKH3-500-R3 </t>
  </si>
  <si>
    <t xml:space="preserve">MKH3-700-R3 </t>
  </si>
  <si>
    <t xml:space="preserve">MDKH3-700-R3 </t>
  </si>
  <si>
    <t xml:space="preserve">MKH3-800-R3 </t>
  </si>
  <si>
    <t xml:space="preserve">MDKH3-800-R3 </t>
  </si>
  <si>
    <t>MKH3-150-R4</t>
  </si>
  <si>
    <t>MDKH3-150-R4</t>
  </si>
  <si>
    <t>MKH3-250-R4</t>
  </si>
  <si>
    <t>MDKH3-250-R4</t>
  </si>
  <si>
    <t xml:space="preserve">MKH3-350-R4 </t>
  </si>
  <si>
    <t xml:space="preserve">MDKH3-350-R4 </t>
  </si>
  <si>
    <t xml:space="preserve">MKH3-500-R4 </t>
  </si>
  <si>
    <t xml:space="preserve">MDKH3-500-R4 </t>
  </si>
  <si>
    <t xml:space="preserve">MKH3-700-R4 </t>
  </si>
  <si>
    <t xml:space="preserve">MDKH3-700-R4 </t>
  </si>
  <si>
    <t xml:space="preserve">MKH3-800-R4 </t>
  </si>
  <si>
    <t xml:space="preserve">MDKH3-800-R4 </t>
  </si>
  <si>
    <t>MKH2-V150-R3</t>
  </si>
  <si>
    <t>22026214000069</t>
  </si>
  <si>
    <t>MKH2-V250-R3</t>
  </si>
  <si>
    <t>22026214000077</t>
  </si>
  <si>
    <t>MKH2-V350-R3</t>
  </si>
  <si>
    <t>22026214000068</t>
  </si>
  <si>
    <t>MKH2-V500-R3</t>
  </si>
  <si>
    <t>22026214000075</t>
  </si>
  <si>
    <t>MKH2-V700-R3</t>
  </si>
  <si>
    <t>22026214000088</t>
  </si>
  <si>
    <t>MKH2-V800-R3</t>
  </si>
  <si>
    <t>22026214000074</t>
  </si>
  <si>
    <t>MKH2-V150-R4</t>
  </si>
  <si>
    <t>22026214000073</t>
  </si>
  <si>
    <t>MKH2-V250-R4</t>
  </si>
  <si>
    <t>22026214000078</t>
  </si>
  <si>
    <t>MKH2-V350-R4</t>
  </si>
  <si>
    <t>22026214000076</t>
  </si>
  <si>
    <t>MKH2-V500-R4</t>
  </si>
  <si>
    <t>22026214000070</t>
  </si>
  <si>
    <t>MKH2-V700-R4</t>
  </si>
  <si>
    <t>22026214000087</t>
  </si>
  <si>
    <t>MKH2-V800-R4</t>
  </si>
  <si>
    <t>22026214000067</t>
  </si>
  <si>
    <t>380V, R410a, cooling only, without kit</t>
  </si>
  <si>
    <t>MCCU-V22CN1</t>
  </si>
  <si>
    <t>MDCCU-V22CN1</t>
  </si>
  <si>
    <t>22027020001690</t>
  </si>
  <si>
    <t>MCCU-V28CN1</t>
  </si>
  <si>
    <t>MDCCU-V28CN1</t>
  </si>
  <si>
    <t>22027020001689</t>
  </si>
  <si>
    <t>MCCU-V33CN1</t>
  </si>
  <si>
    <t>MDCCU-V33CN1</t>
  </si>
  <si>
    <t>22027020001626</t>
  </si>
  <si>
    <t>MCCU-V40CN1</t>
  </si>
  <si>
    <t>MDCCU-V40CN1</t>
  </si>
  <si>
    <t>22027020001688</t>
  </si>
  <si>
    <t>MCCU-V45CN1</t>
  </si>
  <si>
    <t>MDCCU-V45CN1</t>
  </si>
  <si>
    <t>22027020001625</t>
  </si>
  <si>
    <t>MCCU-V50CN1</t>
  </si>
  <si>
    <t>MDCCU-V50CN1</t>
  </si>
  <si>
    <t>22027020001606</t>
  </si>
  <si>
    <t>MCCU-V56CN1</t>
  </si>
  <si>
    <t>MDCCU-V56CN1</t>
  </si>
  <si>
    <t>22027020001607</t>
  </si>
  <si>
    <t>MCCU-V61CN1</t>
  </si>
  <si>
    <t>MDCCU-V61CN1</t>
  </si>
  <si>
    <t>22027020001608</t>
  </si>
  <si>
    <t>MCCU-V67CN1</t>
  </si>
  <si>
    <t>MDCCU-V67CN1</t>
  </si>
  <si>
    <t>22027020001687</t>
  </si>
  <si>
    <t>MCCU-V73CN1</t>
  </si>
  <si>
    <t>MDCCU-V73CN1</t>
  </si>
  <si>
    <t>22027020001686</t>
  </si>
  <si>
    <t>MCCU-V78CN1</t>
  </si>
  <si>
    <t>MDCCU-V78CN1</t>
  </si>
  <si>
    <t>22027020001685</t>
  </si>
  <si>
    <t>MCCU-V85CN1</t>
  </si>
  <si>
    <t>MDCCU-V85CN1</t>
  </si>
  <si>
    <t>22027020001605</t>
  </si>
  <si>
    <r>
      <rPr>
        <sz val="12"/>
        <rFont val="宋体"/>
        <family val="3"/>
        <charset val="134"/>
      </rPr>
      <t>H</t>
    </r>
    <r>
      <rPr>
        <sz val="12"/>
        <rFont val="宋体"/>
        <family val="3"/>
        <charset val="134"/>
      </rPr>
      <t>P</t>
    </r>
  </si>
  <si>
    <t xml:space="preserve">MHC-V12W/D2RN1 </t>
  </si>
  <si>
    <t>22025314000033</t>
  </si>
  <si>
    <t>MHC-V14W/D2RN1</t>
  </si>
  <si>
    <t>22025314000031</t>
  </si>
  <si>
    <t xml:space="preserve">MHC-V16W/D2RN1 </t>
  </si>
  <si>
    <t>22025314000032</t>
  </si>
  <si>
    <t>MHC-V5W/D2N1</t>
  </si>
  <si>
    <t>22025314000111</t>
  </si>
  <si>
    <t>MHC-V7W/D2N1</t>
  </si>
  <si>
    <t>22025314000112</t>
  </si>
  <si>
    <t>MHC-V9W/D2N1</t>
  </si>
  <si>
    <t xml:space="preserve">MHC-V10W/D2N1 </t>
  </si>
  <si>
    <t>22025314000051</t>
  </si>
  <si>
    <t xml:space="preserve">MHC-V12W/D2N1 </t>
  </si>
  <si>
    <t>22025314000052</t>
  </si>
  <si>
    <t xml:space="preserve">MHC-V14W/D2N1 </t>
  </si>
  <si>
    <t>22025314000053</t>
  </si>
  <si>
    <t xml:space="preserve">MHC-V16W/D2N1 </t>
  </si>
  <si>
    <t>22025314000054</t>
  </si>
  <si>
    <t xml:space="preserve">BH30A </t>
  </si>
  <si>
    <t>22013200000001</t>
  </si>
  <si>
    <t>MHA-V4W/D2N1</t>
  </si>
  <si>
    <t>22025314000272</t>
  </si>
  <si>
    <t>MHA-V6W/D2N1</t>
  </si>
  <si>
    <t>22025314000271</t>
  </si>
  <si>
    <t>MHA-V8W/D2N1</t>
  </si>
  <si>
    <t>22025314000091</t>
  </si>
  <si>
    <t>MHA-V10W/D2N1</t>
  </si>
  <si>
    <t>22025314000073</t>
  </si>
  <si>
    <t>MHA-V12W/D2N1</t>
  </si>
  <si>
    <t>22025314000074</t>
  </si>
  <si>
    <t>MHA-V14W/D2N1</t>
  </si>
  <si>
    <t>22025314000072</t>
  </si>
  <si>
    <t>MHA-V16W/D2N1</t>
  </si>
  <si>
    <t>22025314000071</t>
  </si>
  <si>
    <t>MHA-V12W/D2RN1</t>
  </si>
  <si>
    <t>22025314000171</t>
  </si>
  <si>
    <t>MHA-V14W/D2RN1</t>
  </si>
  <si>
    <t>22025314000172</t>
  </si>
  <si>
    <t>MHA-V16W/D2RN1</t>
  </si>
  <si>
    <t>22025314000173</t>
  </si>
  <si>
    <t>SMK-80/CD30GN1-B</t>
  </si>
  <si>
    <t>22010600000070</t>
  </si>
  <si>
    <t>SMK-160/CD30GN1-B</t>
  </si>
  <si>
    <t>22010600000050</t>
  </si>
  <si>
    <t>SMK-160/CSD45GN1-B</t>
  </si>
  <si>
    <t>22025314000233</t>
  </si>
  <si>
    <t>MHC-V12W/D2RN8</t>
  </si>
  <si>
    <t>22025314000299</t>
  </si>
  <si>
    <t>MHC-V14W/D2RN8</t>
  </si>
  <si>
    <t>MDHWC-V14W/D2RN8</t>
  </si>
  <si>
    <t>22025314000298</t>
  </si>
  <si>
    <t>MHC-V16W/D2RN8</t>
  </si>
  <si>
    <t>22025314000297</t>
  </si>
  <si>
    <t>MHC-V5W/D2N8</t>
  </si>
  <si>
    <t>22025314000294</t>
  </si>
  <si>
    <t>MHC-V7W/D2N8</t>
  </si>
  <si>
    <t>22025314000295</t>
  </si>
  <si>
    <t>MHC-V9W/D2N8</t>
  </si>
  <si>
    <t>22025314000296</t>
  </si>
  <si>
    <t>MHC-V12W/D2N8</t>
  </si>
  <si>
    <t>22025314000292</t>
  </si>
  <si>
    <t>MHC-V14W/D2N8</t>
  </si>
  <si>
    <t>22025314000291</t>
  </si>
  <si>
    <t>MHC-V16W/D2N8</t>
  </si>
  <si>
    <t>22025314000293</t>
  </si>
  <si>
    <t>MHA-V4W/D2N8</t>
  </si>
  <si>
    <t>22025314000334</t>
  </si>
  <si>
    <t>MHA-V6W/D2N8</t>
  </si>
  <si>
    <t>22025314000335</t>
  </si>
  <si>
    <t>MHA-V8W/D2N8</t>
  </si>
  <si>
    <t>22025314000332</t>
  </si>
  <si>
    <t>MHA-V10W/D2N8</t>
  </si>
  <si>
    <t>22025314000331</t>
  </si>
  <si>
    <t>SMK-60/CGN8</t>
  </si>
  <si>
    <t>22025314000351</t>
  </si>
  <si>
    <t>SMK-80/CGN8</t>
  </si>
  <si>
    <t>22025314000333</t>
  </si>
  <si>
    <t>RSJ-120/ZN1-540V1</t>
  </si>
  <si>
    <t>22025310000369</t>
  </si>
  <si>
    <t>RSJ-200/SZN1-540V1</t>
  </si>
  <si>
    <t>22025313000087</t>
  </si>
  <si>
    <t>RSJ-420/SZN1-H</t>
  </si>
  <si>
    <t>22025313000006</t>
  </si>
  <si>
    <t>RSJ-800/SZN1-H</t>
  </si>
  <si>
    <t>22025310000017</t>
  </si>
  <si>
    <t>LRSJ-60/NYN1</t>
  </si>
  <si>
    <t>22025320000003</t>
  </si>
  <si>
    <t>LRSJ-80/NYN1-A1</t>
  </si>
  <si>
    <t>22025320000004</t>
  </si>
  <si>
    <t>LRSJ-120/NYN1-A1</t>
  </si>
  <si>
    <t>22025320000002</t>
  </si>
  <si>
    <t>LRSJ-140/NYN1-A1</t>
  </si>
  <si>
    <t>22025320000001</t>
  </si>
  <si>
    <r>
      <rPr>
        <sz val="12"/>
        <rFont val="宋体"/>
        <family val="3"/>
        <charset val="134"/>
      </rPr>
      <t>A</t>
    </r>
    <r>
      <rPr>
        <sz val="12"/>
        <rFont val="宋体"/>
        <family val="3"/>
        <charset val="134"/>
      </rPr>
      <t>HU</t>
    </r>
  </si>
  <si>
    <t>MKS02D4Y/C-H</t>
  </si>
  <si>
    <t>22026112W00382</t>
  </si>
  <si>
    <t>MKS02D4Z/C-H</t>
  </si>
  <si>
    <t>22026112W00383</t>
  </si>
  <si>
    <t>MKS02D6Y/C-H</t>
  </si>
  <si>
    <t>22026112000749</t>
  </si>
  <si>
    <t>MKS02D6Z/C-H</t>
  </si>
  <si>
    <t>22026112W00381</t>
  </si>
  <si>
    <t>MKS03D4Y/C-H</t>
  </si>
  <si>
    <t>22026112W00390</t>
  </si>
  <si>
    <t>MKS03D4Z/C-H</t>
  </si>
  <si>
    <t>22026112W00393</t>
  </si>
  <si>
    <t>MKS03D6Y/C-H</t>
  </si>
  <si>
    <t>22026112000750</t>
  </si>
  <si>
    <t>MKS03D6Z/C-H</t>
  </si>
  <si>
    <t>22026112W00392</t>
  </si>
  <si>
    <t>MKS04D4Y/C-H</t>
  </si>
  <si>
    <t>22026112W00387</t>
  </si>
  <si>
    <t>MKS04D4Z/C-H</t>
  </si>
  <si>
    <t>22026112W00388</t>
  </si>
  <si>
    <t>MKS04D6Y/C-H</t>
  </si>
  <si>
    <t>22026112000751</t>
  </si>
  <si>
    <t>MKS04D6Z/C-H</t>
  </si>
  <si>
    <t>22026112W00389</t>
  </si>
  <si>
    <t>MKS05D4Y/C-H</t>
  </si>
  <si>
    <t>22026112W00385</t>
  </si>
  <si>
    <t>MKS05D4Z/C-H</t>
  </si>
  <si>
    <t>22026112W00384</t>
  </si>
  <si>
    <t>MKS05D6Y/C-H</t>
  </si>
  <si>
    <t>22026112000752</t>
  </si>
  <si>
    <t>MKS05D6Z/C-H</t>
  </si>
  <si>
    <t>22026112W00386</t>
  </si>
  <si>
    <t>MKS06D4Y/C-H</t>
  </si>
  <si>
    <t>22026112W00394</t>
  </si>
  <si>
    <t>MKS06D4Z/C-H</t>
  </si>
  <si>
    <t>22026112W00391</t>
  </si>
  <si>
    <t>MKS06D6Y/C-H</t>
  </si>
  <si>
    <t>22026112000753</t>
  </si>
  <si>
    <t>MKS06D6Z/C-H</t>
  </si>
  <si>
    <t>22026112W00395</t>
  </si>
  <si>
    <t>MKS07D4Y/C-H</t>
  </si>
  <si>
    <t>22026112W00399</t>
  </si>
  <si>
    <t>MKS07D4Z/C-H</t>
  </si>
  <si>
    <t>22026112W00397</t>
  </si>
  <si>
    <t>MKS07D6Y/C-H</t>
  </si>
  <si>
    <t>22026112000754</t>
  </si>
  <si>
    <t>MKS07D6Z/C-H</t>
  </si>
  <si>
    <t>22026112W00396</t>
  </si>
  <si>
    <t>MKS08D4Y/C-H</t>
  </si>
  <si>
    <t>22026112W00407</t>
  </si>
  <si>
    <t>MKS08D4Z/C-H</t>
  </si>
  <si>
    <t>22026112W00401</t>
  </si>
  <si>
    <t>MKS08D6Y/C-H</t>
  </si>
  <si>
    <t>22026112000756</t>
  </si>
  <si>
    <t>MKS08D6Z/C-H</t>
  </si>
  <si>
    <t>22026112W00398</t>
  </si>
  <si>
    <t>MKS09D4Y/C-H</t>
  </si>
  <si>
    <t>22026112W00405</t>
  </si>
  <si>
    <t>MKS09D4Z/C-H</t>
  </si>
  <si>
    <t>22026112W00403</t>
  </si>
  <si>
    <t>MKS09D6Y/C-H</t>
  </si>
  <si>
    <t>22026112000755</t>
  </si>
  <si>
    <t>MKS09D6Z/C-H</t>
  </si>
  <si>
    <t>22026112W00400</t>
  </si>
  <si>
    <t>MKS10D4Y/C-H</t>
  </si>
  <si>
    <t>22026112W00402</t>
  </si>
  <si>
    <t>MKS10D4Z/C-H</t>
  </si>
  <si>
    <t>22026112W00408</t>
  </si>
  <si>
    <t>MKS10D6Y/C-H</t>
  </si>
  <si>
    <t>22026112000759</t>
  </si>
  <si>
    <t>MKS10D6Z/C-H</t>
  </si>
  <si>
    <t>22026112W00404</t>
  </si>
  <si>
    <t>MKS12D4Y/C-H</t>
  </si>
  <si>
    <t>22026112W00409</t>
  </si>
  <si>
    <t>MKS12D4Z/C-H</t>
  </si>
  <si>
    <t>22026112W00406</t>
  </si>
  <si>
    <t>MKS12D6Y/C-H</t>
  </si>
  <si>
    <t>22026112000757</t>
  </si>
  <si>
    <t>MKS12D6Z/C-H</t>
  </si>
  <si>
    <t>22026112W00411</t>
  </si>
  <si>
    <t>MKS15D4Y/C-H</t>
  </si>
  <si>
    <t>22026112W00412</t>
  </si>
  <si>
    <t>MKS15D4Z/C-H</t>
  </si>
  <si>
    <t>22026112W00413</t>
  </si>
  <si>
    <t>MKS15D6Y/C-H</t>
  </si>
  <si>
    <t>22026112000758</t>
  </si>
  <si>
    <t>MKS15D6Z/C-H</t>
  </si>
  <si>
    <t>22026112W00410</t>
  </si>
  <si>
    <t>AHUKZ-V00C</t>
  </si>
  <si>
    <t>AHUKZ-V01C</t>
  </si>
  <si>
    <t>AHUKZ-V02C</t>
  </si>
  <si>
    <t>AHUKZ-V03C</t>
  </si>
  <si>
    <t>MKH2-350-R3</t>
  </si>
  <si>
    <t>MKH2-500-R3</t>
  </si>
  <si>
    <t>MKH2-700-R3</t>
  </si>
  <si>
    <t>MKH2-800-R3</t>
  </si>
  <si>
    <t>MKH2-350-R4</t>
  </si>
  <si>
    <t>MKH2-500-R4</t>
  </si>
  <si>
    <t>MKH2-700-R4</t>
  </si>
  <si>
    <t>MKH2-800-R4</t>
  </si>
  <si>
    <t>借22026214000107定制</t>
  </si>
  <si>
    <t>借22026214000109定制</t>
  </si>
  <si>
    <t>MKH3-350-R3</t>
  </si>
  <si>
    <t>借22026214000110定制</t>
  </si>
  <si>
    <t>MKH3-500-R3</t>
  </si>
  <si>
    <t>借22026214000116定制</t>
  </si>
  <si>
    <t>MKH3-700-R3</t>
  </si>
  <si>
    <t>借22026214000115定制</t>
  </si>
  <si>
    <t>MKH3-800-R3</t>
  </si>
  <si>
    <t>借22026214000117定制</t>
  </si>
  <si>
    <t>借22026214000108定制</t>
  </si>
  <si>
    <t>借22026214000111定制</t>
  </si>
  <si>
    <t>MKH3-350-R4</t>
  </si>
  <si>
    <t>借22026214000112定制</t>
  </si>
  <si>
    <t>MKH3-500-R4</t>
  </si>
  <si>
    <t>借22026214000114定制</t>
  </si>
  <si>
    <t>MKH3-700-R4</t>
  </si>
  <si>
    <t>借22026214000113定制</t>
  </si>
  <si>
    <t>MKH3-800-R4</t>
  </si>
  <si>
    <t>借22026214000118定制</t>
  </si>
  <si>
    <t>MKH3-V150-R3</t>
  </si>
  <si>
    <t>借22026214000069定制</t>
  </si>
  <si>
    <t>MKH3-V250-R3</t>
  </si>
  <si>
    <t>借22026214000077定制</t>
  </si>
  <si>
    <t>MKH3-V350-R3</t>
  </si>
  <si>
    <t>借22026214000068定制</t>
  </si>
  <si>
    <t>MKH3-V500-R3</t>
  </si>
  <si>
    <t>借22026214000075定制</t>
  </si>
  <si>
    <t>MKH3-V700-R3</t>
  </si>
  <si>
    <t>借22026214000088定制</t>
  </si>
  <si>
    <t>MKH3-V800-R3</t>
  </si>
  <si>
    <t>借22026214000074定制</t>
  </si>
  <si>
    <t>MKH3-V150-R4</t>
  </si>
  <si>
    <t>借22026214000073定制</t>
  </si>
  <si>
    <t>MKH3-V250-R4</t>
  </si>
  <si>
    <t>借22026214000078定制</t>
  </si>
  <si>
    <t>MKH3-V350-R4</t>
  </si>
  <si>
    <t>借22026214000076定制</t>
  </si>
  <si>
    <t>MKH3-V500-R4</t>
  </si>
  <si>
    <t>借22026214000070定制</t>
  </si>
  <si>
    <t>MKH3-V700-R4</t>
  </si>
  <si>
    <t>借22026214000087定制</t>
  </si>
  <si>
    <t>MKH3-V800-R4</t>
  </si>
  <si>
    <t>借22026214000067定制</t>
  </si>
  <si>
    <t>MKH2-V150F-R4</t>
  </si>
  <si>
    <t>new product, no price yet</t>
  </si>
  <si>
    <t>MKH2-V250F-R4</t>
  </si>
  <si>
    <t>MKH2-V350F-R4</t>
  </si>
  <si>
    <t>MKH2-V500F-R4</t>
  </si>
  <si>
    <t>MKH2-V700F-R4</t>
  </si>
  <si>
    <t>MKH2-V800F-R4</t>
  </si>
  <si>
    <t>MKH2-150F-R4</t>
  </si>
  <si>
    <t>MKH2-250F-R4</t>
  </si>
  <si>
    <t>MKH2-350F-R4</t>
  </si>
  <si>
    <t>MKH2-500F-R4</t>
  </si>
  <si>
    <t>MKH2-700F-R4</t>
  </si>
  <si>
    <t>MKH2-800F-R4</t>
  </si>
  <si>
    <t>Series</t>
  </si>
  <si>
    <t>Code</t>
  </si>
  <si>
    <t>Description of Goods</t>
  </si>
  <si>
    <t>Capacity (Kw)</t>
  </si>
  <si>
    <t>V6R Series
Series with automatic refrigerant charging function</t>
  </si>
  <si>
    <t>/</t>
  </si>
  <si>
    <t>22027020002045</t>
  </si>
  <si>
    <t>VRF outdoor
380~415V-3PH
50(60)Hz
All DC invertor
Side discharge</t>
  </si>
  <si>
    <t>22027020002046</t>
  </si>
  <si>
    <t>22027020002047</t>
  </si>
  <si>
    <t>22027020002048</t>
  </si>
  <si>
    <t>22027020002049</t>
  </si>
  <si>
    <t>VC-i - side discharge</t>
  </si>
  <si>
    <t>MDVC-V200W/DRN1</t>
  </si>
  <si>
    <t>22027020001945</t>
  </si>
  <si>
    <t>380-415V ~ 3N ~ 50Hz</t>
  </si>
  <si>
    <t>MDVC-V224W/DRN1</t>
  </si>
  <si>
    <t>MDVC-V260W/DRN1</t>
  </si>
  <si>
    <t>22027020001947</t>
  </si>
  <si>
    <t>MDVC-V280W/DRN1</t>
  </si>
  <si>
    <t>22027020001925</t>
  </si>
  <si>
    <t>Water source V4+ W series</t>
  </si>
  <si>
    <t>Water source DC inverter, R410A, 380V, outdoor unit
Modular type</t>
  </si>
  <si>
    <t xml:space="preserve">
3-Pipe VRF model switch box</t>
  </si>
  <si>
    <t>model switch box, one drive 1</t>
  </si>
  <si>
    <t>MS04N1-D</t>
  </si>
  <si>
    <t>model switch box, one drive 4</t>
  </si>
  <si>
    <t>model switch box, one drive 6</t>
  </si>
  <si>
    <t>model switch box, one drive 8</t>
  </si>
  <si>
    <t>MS10N1-D</t>
  </si>
  <si>
    <t>model switch box, one drive 10</t>
  </si>
  <si>
    <t>MS12N1-D</t>
  </si>
  <si>
    <t>model switch box, one drive 12</t>
  </si>
  <si>
    <t>Mini C 2rd geneartion</t>
  </si>
  <si>
    <t>MDV-V80W/DHN1(D)</t>
  </si>
  <si>
    <t>22027020002077</t>
  </si>
  <si>
    <t>All DC inverter;
single phase;
R410A;
220V</t>
  </si>
  <si>
    <t>MDV-V100W/DHN1(D)</t>
  </si>
  <si>
    <t>22027020002078</t>
  </si>
  <si>
    <t>MDV-V120W/DHN1(D)</t>
  </si>
  <si>
    <t>22027020002079</t>
  </si>
  <si>
    <t>MDV-V140W/DHN1(D)</t>
  </si>
  <si>
    <t>22027020002080</t>
  </si>
  <si>
    <t>MDV-V160W/DHN1(D)</t>
  </si>
  <si>
    <t>22027020002081</t>
  </si>
  <si>
    <t>MDV-V180W/DHN1(D)</t>
  </si>
  <si>
    <t>22027020002105</t>
  </si>
  <si>
    <t>AC HRV</t>
  </si>
  <si>
    <t>220-240V ~ 50Hz</t>
  </si>
  <si>
    <t>200m3/h</t>
  </si>
  <si>
    <t>300m3/h</t>
  </si>
  <si>
    <t>400m3/h</t>
  </si>
  <si>
    <t>500m3/h</t>
  </si>
  <si>
    <t>800m3/h</t>
  </si>
  <si>
    <t>1000m3/h</t>
  </si>
  <si>
    <t>1500m3/h</t>
  </si>
  <si>
    <t>2000m3/h</t>
  </si>
  <si>
    <t>HRV controler</t>
  </si>
  <si>
    <t>KJR-27B/BGE(A)</t>
  </si>
  <si>
    <t>17317100000131</t>
  </si>
  <si>
    <t>KJR-27B/E</t>
  </si>
  <si>
    <t>Remote controller</t>
  </si>
  <si>
    <t>wired controller (touchable button)</t>
  </si>
  <si>
    <t>Mode button hidden wired controller</t>
  </si>
  <si>
    <t>CCM30/BKE-B(A)</t>
  </si>
  <si>
    <t>17311500A06527</t>
  </si>
  <si>
    <t xml:space="preserve"> </t>
  </si>
  <si>
    <t>Indoor units group controller</t>
  </si>
  <si>
    <t>Network Interface Module</t>
  </si>
  <si>
    <t>Infrared sensor</t>
  </si>
  <si>
    <t>CCM-18A/N(A)</t>
  </si>
  <si>
    <t>New BMS gateway(Modbus)</t>
  </si>
  <si>
    <t xml:space="preserve">GW-BAC(D) </t>
  </si>
  <si>
    <t>BMS gateway(BakNet) for V4+ V5X</t>
  </si>
  <si>
    <t>CCM-15(A)</t>
  </si>
  <si>
    <t>Data converter CCM15 for iPad and iPhone</t>
  </si>
  <si>
    <t>M-interface of 4th generation central control system</t>
  </si>
  <si>
    <t>IMM software</t>
  </si>
  <si>
    <t>wired controller, substitution for WDC-86E/KD</t>
  </si>
  <si>
    <t>DTS343-3</t>
  </si>
  <si>
    <t>Ammeter</t>
  </si>
  <si>
    <t>17211200A02945</t>
  </si>
  <si>
    <t>1st generation FCU control box</t>
  </si>
  <si>
    <t>FCU control box for 2-pipe</t>
  </si>
  <si>
    <t>FCU control box for 4-pipe</t>
  </si>
  <si>
    <t>Branch pipes</t>
  </si>
  <si>
    <t>CE-FQZHN-01D</t>
  </si>
  <si>
    <t>CE-FQZHN-02D</t>
  </si>
  <si>
    <t>CE-FQZHN-03D</t>
  </si>
  <si>
    <t>CE-FQZHN-04D</t>
  </si>
  <si>
    <t>CE-FQZHN-05D</t>
  </si>
  <si>
    <t>CE-FQZHN-06D</t>
  </si>
  <si>
    <t>Branch pipes for V6 outdoor units</t>
  </si>
  <si>
    <t>Branch pipes for VRF AHU KIT</t>
  </si>
  <si>
    <t xml:space="preserve">IDU online kit, only suitable for 2nd generation IDU,220V-24V transformer needs to be purchased by installer </t>
  </si>
  <si>
    <t>Conversion box for diagnosis software connection to V5X</t>
  </si>
  <si>
    <t>MA-HKCW</t>
  </si>
  <si>
    <t xml:space="preserve">Hotel card module </t>
  </si>
  <si>
    <t>MA-HKCS</t>
  </si>
  <si>
    <t>Panel</t>
  </si>
  <si>
    <t>T-MBQ4-01E(S)</t>
  </si>
  <si>
    <t>Panel for Common cassette,
360 deg. Air outlet</t>
  </si>
  <si>
    <t>Panel for Compact four-way cassette(AC type only)</t>
  </si>
  <si>
    <t>Panel for Compact four-way cassette(2nd generation) 
360 deg. Air outlet</t>
  </si>
  <si>
    <t>Panel for Common cassette</t>
  </si>
  <si>
    <t>Panel for Two-way cassette</t>
  </si>
  <si>
    <t>Panel for One-way cassette(4.5-7.1kw)</t>
  </si>
  <si>
    <t>Panel for One-way cassette(1.8-3.6kw)</t>
  </si>
  <si>
    <t>MA-EK</t>
  </si>
  <si>
    <t xml:space="preserve">Communication modular converter </t>
  </si>
  <si>
    <t xml:space="preserve">CE-FP-42.5DLM/C1BP2XH-DJZJ </t>
  </si>
  <si>
    <t xml:space="preserve"> Supporting bar</t>
  </si>
  <si>
    <t xml:space="preserve">CE-FP-204WA-Z-G30.ZL </t>
  </si>
  <si>
    <t>available for 2-pipe LSP&amp;MSP duct (2&amp;4-Row)</t>
  </si>
  <si>
    <t xml:space="preserve">CE-FP-136WA-Y-G70.ZLA </t>
  </si>
  <si>
    <t>available for 2-pipe HSP duct MKT3H-800</t>
  </si>
  <si>
    <t>CE-FP-306WA-Z-G100.ZL</t>
  </si>
  <si>
    <t>available for 2-pipe HSP duct MKT3H-1400</t>
  </si>
  <si>
    <t xml:space="preserve">CE-FP-238WA-Z-G70.ZL </t>
  </si>
  <si>
    <t>available for 2-pipe HSP duct other than MKT3H-800 and MKT3H-1400</t>
  </si>
  <si>
    <t xml:space="preserve">FP-68KBM/B2.ZL </t>
  </si>
  <si>
    <t>available for 2-pipe compact 4-way cassette</t>
  </si>
  <si>
    <t>CE-FP-255KBM.ZLA</t>
  </si>
  <si>
    <t>available for 2-pipe 4-way cassette</t>
  </si>
  <si>
    <t>CE-FP-42.5LM-Z/B.ZL</t>
  </si>
  <si>
    <t>available for 1st Ceiling&amp;Floor (right connecting)</t>
  </si>
  <si>
    <t xml:space="preserve">CE-FP-42.5LM-Y/B.ZL </t>
  </si>
  <si>
    <t>available for 1st Ceiling&amp;Floor (left connecting)</t>
  </si>
  <si>
    <t>TWVK92</t>
  </si>
  <si>
    <t xml:space="preserve">  is for 2nd two pipe ceiling &amp; floor FCU 150-700R3/R4</t>
  </si>
  <si>
    <t>TWVK95</t>
  </si>
  <si>
    <t>15426200000495  </t>
  </si>
  <si>
    <t xml:space="preserve"> is for 2nd two pipe ceiling &amp; floor FCU 800R3/R4</t>
  </si>
  <si>
    <t>CE-FP-68KBM/B2S.ZL.3</t>
  </si>
  <si>
    <t>CE-FP-12.5KBM/A1S.ZL</t>
  </si>
  <si>
    <t>available for 4-pipe compact 4-way cassette</t>
  </si>
  <si>
    <t>CE-FP-34WA-Z3/S.ZL.1</t>
  </si>
  <si>
    <t>available for 4-pipe LSP&amp;MSP duct</t>
  </si>
  <si>
    <t xml:space="preserve">Branch pipe assembly </t>
  </si>
  <si>
    <t>MA-IS</t>
  </si>
  <si>
    <t>17211300000230</t>
  </si>
  <si>
    <t>KJRP-86A/BMFNKD-E</t>
  </si>
  <si>
    <t xml:space="preserve">Touch Style thermostat   </t>
  </si>
  <si>
    <t>WDC-120G/WK(A)</t>
  </si>
  <si>
    <t>non-ploar signal, 7 degree fan speed, 5 swing angel control, error inquiry, running parameter inquiry, ESP setting, 1 control 1 or 16 IDU</t>
  </si>
  <si>
    <t>Centralized controller</t>
  </si>
  <si>
    <t>CCM-180A/BWS(A)</t>
  </si>
  <si>
    <t>17311500A04245</t>
  </si>
  <si>
    <t>6.2 inch
max. 8 systems, 64 IDU</t>
  </si>
  <si>
    <t>CCM-210G/BWS</t>
  </si>
  <si>
    <t>CCM-270B/WS(B)</t>
  </si>
  <si>
    <t>10 inch,
max. 48 systems, 384 IDU
USB Connection
 can be connected to IMMPRO</t>
  </si>
  <si>
    <t>Gateway &amp; software</t>
  </si>
  <si>
    <t>IMMP-BAC(A)</t>
  </si>
  <si>
    <t>Gateway of both BacNet and Midea IMMPRO
max. 32 systems, 256 IDU</t>
  </si>
  <si>
    <t>GW-MOD(A)</t>
  </si>
  <si>
    <t>New Modbus gateway
max. 1 system, 64 IDU</t>
  </si>
  <si>
    <t>New Lonworks gateway
max. 8 system, 64 IDU</t>
  </si>
  <si>
    <t>IMMP-S(A)</t>
  </si>
  <si>
    <t>IMMPRO software
Max. 10 M-interface, 320 systems, 2560 IDU
Max. 10 CCM-270A/WS, 480 systems, 3840 IDU</t>
  </si>
  <si>
    <t>MA-WK</t>
  </si>
  <si>
    <t>WIFI kit</t>
  </si>
  <si>
    <t>New KNX gateway
one for one IDU</t>
  </si>
  <si>
    <t>Diagnosis software for V5X</t>
  </si>
  <si>
    <t>FCU control box</t>
  </si>
  <si>
    <t>CE-FCUKZ-03-B</t>
  </si>
  <si>
    <t>replacement for CE-FCUKZ-03</t>
  </si>
  <si>
    <t>CE-FCUKZ-04-B</t>
  </si>
  <si>
    <t>replacement for CE-FCUKZ-04</t>
  </si>
  <si>
    <t>Power Supply</t>
  </si>
  <si>
    <t>Factory code</t>
  </si>
  <si>
    <t xml:space="preserve">Description </t>
  </si>
  <si>
    <t>Capacity
Kw</t>
  </si>
  <si>
    <t>Unit price
(CNY)</t>
  </si>
  <si>
    <t>Questions</t>
  </si>
  <si>
    <t xml:space="preserve">V8 Master
</t>
  </si>
  <si>
    <t>380-415V ~ 3N ~ 50/60Hz</t>
  </si>
  <si>
    <t>MDV-V8252V2R1A(MA)</t>
  </si>
  <si>
    <t>MV8-252WV2GN1(MA)</t>
  </si>
  <si>
    <t>1.Chassis electrical heater
2.Automatic refrigerant charging
3.Bluetooth module (with black box)
4.single outdoor unit  ratio 200%
5. V8 system can connect 30% indoor units
6. Auto dust-clean function
7. Humidity control (in IDU)</t>
  </si>
  <si>
    <t>MDV-V8280V2R1A(MA)</t>
  </si>
  <si>
    <t>MV8-280WV2GN1(MA)</t>
  </si>
  <si>
    <t>MDV-V8335V2R1A(MA)</t>
  </si>
  <si>
    <t>MV8-335WV2GN1(MA)</t>
  </si>
  <si>
    <t>MDV-V8400V2R1A(MA)</t>
  </si>
  <si>
    <t>MV8-400WV2GN1(MA)</t>
  </si>
  <si>
    <t>MDV-V8450V2R1A(MA)</t>
  </si>
  <si>
    <t>MV8-450WV2GN1(MA)</t>
  </si>
  <si>
    <t>MDV-V8500V2R1A(MA)</t>
  </si>
  <si>
    <t>MV8-500WV2GN1(MA)</t>
  </si>
  <si>
    <t>MDV-V8560V2R1A(MA)</t>
  </si>
  <si>
    <t>MV8-560WV2GN1(MA)</t>
  </si>
  <si>
    <t>MDV-V8615V2R1A(MA)</t>
  </si>
  <si>
    <t>MV8-615WV2GN1(MA)</t>
  </si>
  <si>
    <t>MDV-V8670V2R1A(MA)</t>
  </si>
  <si>
    <t>MV8-670WV2GN1(MA)</t>
  </si>
  <si>
    <t>MDV-V8730V2R1A(MA)</t>
  </si>
  <si>
    <t>MV8-730WV2GN1(MA)</t>
  </si>
  <si>
    <t>MDV-V8785V2R1A(MA)</t>
  </si>
  <si>
    <t>MV8-785WV2GN1(MA)</t>
  </si>
  <si>
    <t>MDV-V8850V2R1A(MA)</t>
  </si>
  <si>
    <t>MV8-850WV2GN1(MA)</t>
  </si>
  <si>
    <t>MDV-V8900V2R1A(MA)</t>
  </si>
  <si>
    <t>MV8-900WV2GN1(MA)</t>
  </si>
  <si>
    <t>MDV-V8950V2R1A(MA)</t>
  </si>
  <si>
    <t>MV8-950WV2GN1(MA)</t>
  </si>
  <si>
    <t>MDV-V81010V2R1A(MA)</t>
  </si>
  <si>
    <t>MV8-1010WV2GN1(MA)</t>
  </si>
  <si>
    <t>MDV-V81060V2R1A(MA)</t>
  </si>
  <si>
    <t>MV8-1060WV2GN1(MA)</t>
  </si>
  <si>
    <t>MDV-V81120V2R1A(MA)</t>
  </si>
  <si>
    <t>MV8-1120WV2GN1(MA)</t>
  </si>
  <si>
    <t>V8i Master</t>
  </si>
  <si>
    <t>MDV-V8i252V2R1A(MA)</t>
  </si>
  <si>
    <t>MV8i-252WV2GN1(MA)</t>
  </si>
  <si>
    <t>MDV-V8i280V2R1A(MA)</t>
  </si>
  <si>
    <t>MV8i-280WV2GN1(MA)</t>
  </si>
  <si>
    <t>MDV-V8i335V2R1A(MA)</t>
  </si>
  <si>
    <t>MV8i-335WV2GN1(MA)</t>
  </si>
  <si>
    <t>MDV-V8i400V2R1A(MA)</t>
  </si>
  <si>
    <t>MV8i-400WV2GN1(MA)</t>
  </si>
  <si>
    <t>MDV-V8i450V2R1A(MA)</t>
  </si>
  <si>
    <t>MV8i-450WV2GN1(MA)</t>
  </si>
  <si>
    <t>MDV-V8i500V2R1A(MA)</t>
  </si>
  <si>
    <t>MV8i-500WV2GN1(MA)</t>
  </si>
  <si>
    <t>MDV-V8i560V2R1A(MA)</t>
  </si>
  <si>
    <t>MV8i-560WV2GN1(MA)</t>
  </si>
  <si>
    <t>MDV-V8i615V2R1A(MA)</t>
  </si>
  <si>
    <t>MV8i-615WV2GN1(MA)</t>
  </si>
  <si>
    <t>MDV-V8i670V2R1A(MA)</t>
  </si>
  <si>
    <t>MV8i-670WV2GN1(MA)</t>
  </si>
  <si>
    <t>MDV-V8i730V2R1A(MA)</t>
  </si>
  <si>
    <t>MV8i-730WV2GN1(MA)</t>
  </si>
  <si>
    <t>MDV-V8i785V2R1A(MA)</t>
  </si>
  <si>
    <t>MV8i-785WV2GN1(MA)</t>
  </si>
  <si>
    <t>MDV-V8i850V2R1A(MA)</t>
  </si>
  <si>
    <t>MV8i-850WV2GN1(MA)</t>
  </si>
  <si>
    <t>MDV-V8i900V2R1A(MA)</t>
  </si>
  <si>
    <t>MV8i-900WV2GN1(MA)</t>
  </si>
  <si>
    <t>MDV-V8i950V2R1A(MA)</t>
  </si>
  <si>
    <t>MV8i-950WV2GN1(MA)</t>
  </si>
  <si>
    <t>MDV-V8i1010V2R1A(MA)</t>
  </si>
  <si>
    <t>MV8i-1010WV2GN1(MA)</t>
  </si>
  <si>
    <t>MDV-V8i1060V2R1A(MA)</t>
  </si>
  <si>
    <t>MV8i-1060WV2GN1(MA)</t>
  </si>
  <si>
    <t>MDV-V8i1120V2R1A(MA)</t>
  </si>
  <si>
    <t>MV8i-1120WV2GN1(MA)</t>
  </si>
  <si>
    <t>MDV-V8i1170V2R1A(MA)</t>
  </si>
  <si>
    <t>MV8i-1170WV2GN1(MA)</t>
  </si>
  <si>
    <t>VC MAX</t>
  </si>
  <si>
    <t>MVC-M224WV2GN1</t>
  </si>
  <si>
    <t>1.Automatic refrigerant charging
2.Bluetooth module (with black box)
3.single outdoor unit  ratio 200%
4. V8 system can connect 30% indoor units
5. Auto dust-clean function
6. Humidity control (in IDU)</t>
  </si>
  <si>
    <t>MVC-M280WV2GN1</t>
  </si>
  <si>
    <t>MVC-M335WV2GN1</t>
  </si>
  <si>
    <t>MVC-M400WV2GN1</t>
  </si>
  <si>
    <t>MVC-M450WV2GN1</t>
  </si>
  <si>
    <t>MVC-M500WV2GN1</t>
  </si>
  <si>
    <t>MVC-M560WV2GN1</t>
  </si>
  <si>
    <t>MVC-M615WV2GN1</t>
  </si>
  <si>
    <t>MVC-M670WV2GN1</t>
  </si>
  <si>
    <t>MVC-M730WV2GN1</t>
  </si>
  <si>
    <t>MVC-M785WV2GN1</t>
  </si>
  <si>
    <t>MVC-M850WV2GN1</t>
  </si>
  <si>
    <t>V8S</t>
  </si>
  <si>
    <t>MDV-V8S252V2R1A</t>
  </si>
  <si>
    <t>MV8S-252WV2GN1</t>
  </si>
  <si>
    <t>1.Automatic refrigerant charging
2.Bluetooth module (with black box)
3.single outdoor unit  ratio 200%
4. V8 system can connect 30% indoor units
5. Auto dust-clean function</t>
  </si>
  <si>
    <t>MDV-V8S280V2R1A</t>
  </si>
  <si>
    <t>MV8S-280WV2GN1</t>
  </si>
  <si>
    <t>MDV-V8S335V2R1A</t>
  </si>
  <si>
    <t>MV8S-335WV2GN1</t>
  </si>
  <si>
    <t>MDV-V8S400V2R1A</t>
  </si>
  <si>
    <t>MV8S-400WV2GN1</t>
  </si>
  <si>
    <t>MDV-V8S450V2R1A</t>
  </si>
  <si>
    <t>MV8S-450WV2GN1</t>
  </si>
  <si>
    <t>MDV-V8S500V2R1A</t>
  </si>
  <si>
    <t>MV8S-500WV2GN1</t>
  </si>
  <si>
    <t>MDV-V8S560V2R1A</t>
  </si>
  <si>
    <t>MV8S-560WV2GN1</t>
  </si>
  <si>
    <t>MDV-V8S615V2R1A</t>
  </si>
  <si>
    <t>MV8S-615WV2GN1</t>
  </si>
  <si>
    <t>MDV-V8S670V2R1A</t>
  </si>
  <si>
    <t>MV8S-670WV2GN1</t>
  </si>
  <si>
    <t>Easyfit</t>
  </si>
  <si>
    <t>MDV-Vi252V2R1A</t>
  </si>
  <si>
    <t>MVi-252WV2GN1(B)</t>
  </si>
  <si>
    <t>MDV-Vi280V2R1A</t>
  </si>
  <si>
    <t>MVi-280WV2GN1(B)</t>
  </si>
  <si>
    <t>MDV-Vi335V2R1A</t>
  </si>
  <si>
    <t>MVi-335WV2GN1(B)</t>
  </si>
  <si>
    <t>MDV-Vi400V2R1A</t>
  </si>
  <si>
    <t>MVi-400WV2GN1(A)</t>
  </si>
  <si>
    <t>MDV-Vi450V2R1A</t>
  </si>
  <si>
    <t>MVi-450WV2GN1(A)</t>
  </si>
  <si>
    <t>MDV-Vi500V2R1A</t>
  </si>
  <si>
    <t>MVi-500WV2GN1(A)</t>
  </si>
  <si>
    <t>MDV-Vi560V2R1A</t>
  </si>
  <si>
    <t>MVi-560WV2GN1(A)</t>
  </si>
  <si>
    <t>MDV-Vi615V2R1A</t>
  </si>
  <si>
    <t>MVi-615WV2GN1(A)</t>
  </si>
  <si>
    <t>MDV-Vi670V2R1A</t>
  </si>
  <si>
    <t>MVi-670WV2GN1(A)</t>
  </si>
  <si>
    <t>R410a V8 Mini</t>
  </si>
  <si>
    <t>380-415V 3N~ 50Hz</t>
  </si>
  <si>
    <t>MDV-V8M120V2R1B</t>
  </si>
  <si>
    <t>MV8M-120WV2GN1</t>
  </si>
  <si>
    <t>22027020002868</t>
  </si>
  <si>
    <t>Model names are different from the first variant? (last letter was changed?)</t>
  </si>
  <si>
    <t>MDV-V8M140V2R1B</t>
  </si>
  <si>
    <t>MV8M-140WV2GN1</t>
  </si>
  <si>
    <t>22027020002866</t>
  </si>
  <si>
    <t>MDV-V8M160V2R1B</t>
  </si>
  <si>
    <t>MV8M-160WV2GN1</t>
  </si>
  <si>
    <t>MV8M-170WV2GN1</t>
  </si>
  <si>
    <t>MDV-V8M80V2R1E</t>
  </si>
  <si>
    <t>MV8M-80WV2HN1</t>
  </si>
  <si>
    <t>MDV-V8M100V2R1E</t>
  </si>
  <si>
    <t>MV8M-100WV2HN1</t>
  </si>
  <si>
    <t>22027020002666</t>
  </si>
  <si>
    <t>MDV-V8M120V2R1E</t>
  </si>
  <si>
    <t>MV8M-120WV2HN1</t>
  </si>
  <si>
    <t>MDV-V8M140V2R1E</t>
  </si>
  <si>
    <t>MV8M-140WV2HN1</t>
  </si>
  <si>
    <t>22027020002865</t>
  </si>
  <si>
    <t>MDV-V8M160V2R1E</t>
  </si>
  <si>
    <t>MV8M-160WV2HN1</t>
  </si>
  <si>
    <t>MV8M-170WV2HN1</t>
  </si>
  <si>
    <t>REPLY: Please find the correct model names highlight in yellow. Please chekc if need to change the MDV model name.</t>
  </si>
  <si>
    <t>R32 V8 Mini</t>
  </si>
  <si>
    <t>MDV-V8M120V2R8B</t>
  </si>
  <si>
    <t>MV8M-120WV2RN8</t>
  </si>
  <si>
    <t>1.Chassis electrical heater
2.Bluetooth module
3. combination ratio 50%-160% (with V8 IDU)</t>
  </si>
  <si>
    <t>MDV-V8M140V2R8B</t>
  </si>
  <si>
    <t>MV8M-140WV2RN8</t>
  </si>
  <si>
    <t>MDV-V8M160V2R8B</t>
  </si>
  <si>
    <t>MV8M-160WV2RN8</t>
  </si>
  <si>
    <t>MDV-V8M180V2R8B</t>
  </si>
  <si>
    <t>MV8M-180WV2RN8</t>
  </si>
  <si>
    <t>MDV-V8M80V2R8E</t>
  </si>
  <si>
    <t>MV8M-80WV2N8</t>
  </si>
  <si>
    <t>MDV-V8M100V2R8E</t>
  </si>
  <si>
    <t>MV8M-100WV2N8</t>
  </si>
  <si>
    <t>MDV-V8M120V2R8E</t>
  </si>
  <si>
    <t>MV8M-120WV2N8</t>
  </si>
  <si>
    <t>MDV-V8M140V2R8E</t>
  </si>
  <si>
    <t>MV8M-140WV2N8</t>
  </si>
  <si>
    <t>MDV-V8M160V2R8E</t>
  </si>
  <si>
    <t>MV8M-160WV2N8</t>
  </si>
  <si>
    <t>MDV-V8M180V2R8E</t>
  </si>
  <si>
    <t>MV8M-180WV2N8</t>
  </si>
  <si>
    <t>Compact Four-way cassette</t>
  </si>
  <si>
    <t>220-240V ~ 50/60Hz</t>
  </si>
  <si>
    <t>MDVI3-15C4CVD</t>
  </si>
  <si>
    <t>MIH15Q4CHN18</t>
  </si>
  <si>
    <t>MDVI3-22C4CVD</t>
  </si>
  <si>
    <t>MIH22Q4CHN18</t>
  </si>
  <si>
    <t>MDVI3-28C4CVD</t>
  </si>
  <si>
    <t>MIH28Q4CHN18</t>
  </si>
  <si>
    <t>2, 8</t>
  </si>
  <si>
    <t>MDVI3-36C4CVD</t>
  </si>
  <si>
    <t>MIH36Q4CHN18</t>
  </si>
  <si>
    <t>MDVI3-45C4CVD</t>
  </si>
  <si>
    <t>MIH45Q4CHN18</t>
  </si>
  <si>
    <t>MDVI3-56C4CVD</t>
  </si>
  <si>
    <t>MIH56Q4CHN18</t>
  </si>
  <si>
    <t>MDVI3-63C4CVD</t>
  </si>
  <si>
    <t>MIH63Q4CHN18</t>
  </si>
  <si>
    <t>MDV-MBQ4C-8PC</t>
  </si>
  <si>
    <t>T-MBQ4C-8PC</t>
  </si>
  <si>
    <t>MDV design panel?</t>
  </si>
  <si>
    <t>MDV-MBQ4C-8PC(HS)</t>
  </si>
  <si>
    <t>T-MBQ4C-8PC(HS)</t>
  </si>
  <si>
    <t>22012900003270</t>
  </si>
  <si>
    <t>REPLY: please find the picture.Plesae noted that the factory code is different from what Chester sent.</t>
  </si>
  <si>
    <t>Four-way cassette</t>
  </si>
  <si>
    <t>MDVI3-28C4VD</t>
  </si>
  <si>
    <t>MIH28Q4HN18</t>
  </si>
  <si>
    <t>MDVI3-36C4VD</t>
  </si>
  <si>
    <t>MIH36Q4HN18</t>
  </si>
  <si>
    <t>MDVI3-45C4VD</t>
  </si>
  <si>
    <t>MIH45Q4HN18</t>
  </si>
  <si>
    <t>MDVI3-56C4VD</t>
  </si>
  <si>
    <t>MIH56Q4HN18</t>
  </si>
  <si>
    <t>MDVI3-71C4VD</t>
  </si>
  <si>
    <t>MIH71Q4HN18</t>
  </si>
  <si>
    <t>MDVI3-80C4VD</t>
  </si>
  <si>
    <t>MIH80Q4HN18</t>
  </si>
  <si>
    <t>MDVI3-90C4VD</t>
  </si>
  <si>
    <t>MIH90Q4HN18</t>
  </si>
  <si>
    <t>MDVI3-100C4VD</t>
  </si>
  <si>
    <t>MIH100Q4HN18</t>
  </si>
  <si>
    <t>MDVI3-112C4VD</t>
  </si>
  <si>
    <t>MIH112Q4HN18</t>
  </si>
  <si>
    <t>MDVI3-140C4VD</t>
  </si>
  <si>
    <t>MIH140Q4HN18</t>
  </si>
  <si>
    <t>MIH160Q4HN18</t>
  </si>
  <si>
    <t>MIH180Q4HN18</t>
  </si>
  <si>
    <t>MDV-MBQ4-8PC</t>
  </si>
  <si>
    <t>T-MBQ4-8PC</t>
  </si>
  <si>
    <t>MDV-MBQ4-8PC(HS)</t>
  </si>
  <si>
    <t>T-MBQ4-8PC(HS)</t>
  </si>
  <si>
    <t>T-MBQ4-02E1</t>
  </si>
  <si>
    <r>
      <rPr>
        <sz val="10"/>
        <color theme="1"/>
        <rFont val="Times New Roman"/>
        <family val="1"/>
      </rPr>
      <t>ARC Duct</t>
    </r>
  </si>
  <si>
    <t>MDVI3-15D1VD</t>
  </si>
  <si>
    <t>MIH15T3HN18</t>
  </si>
  <si>
    <t>MDVI3-22D1VD</t>
  </si>
  <si>
    <t>MIH22T3HN18</t>
  </si>
  <si>
    <t>MDVI3-28D1VD</t>
  </si>
  <si>
    <t>MIH28T3HN18</t>
  </si>
  <si>
    <t>MDVI3-36D1VD</t>
  </si>
  <si>
    <t>MIH36T3HN18</t>
  </si>
  <si>
    <t>MDVI3-45D1VD</t>
  </si>
  <si>
    <t>MIH45T3HN18</t>
  </si>
  <si>
    <t>MDVI3-56D1VD</t>
  </si>
  <si>
    <t>MIH56T3HN18</t>
  </si>
  <si>
    <t>MDVI3-71D1VD</t>
  </si>
  <si>
    <t>MIH71T3HN18</t>
  </si>
  <si>
    <t>MDVI3-80D1VD</t>
  </si>
  <si>
    <t>MIH80T3HN18</t>
  </si>
  <si>
    <t>MDVI3-90D1VD</t>
  </si>
  <si>
    <t>MIH90T3HN18</t>
  </si>
  <si>
    <t>MDVI3-112D1VD</t>
  </si>
  <si>
    <t>MIH112T3HN18</t>
  </si>
  <si>
    <t>MDVI3-15D2VD</t>
  </si>
  <si>
    <t>MIH15T2HN18</t>
  </si>
  <si>
    <t>22026011001510</t>
  </si>
  <si>
    <t>MDVI3-22D2VD</t>
  </si>
  <si>
    <t>MIH22T2HN18</t>
  </si>
  <si>
    <t>22026011001505</t>
  </si>
  <si>
    <t>MDVI3-28D2VD</t>
  </si>
  <si>
    <t>MIH28T2HN18</t>
  </si>
  <si>
    <t>22026011001515</t>
  </si>
  <si>
    <t>MDVI3-36D2VD</t>
  </si>
  <si>
    <t>MIH36T2HN18</t>
  </si>
  <si>
    <t>22026011001498</t>
  </si>
  <si>
    <t>MDVI3-45D2VD</t>
  </si>
  <si>
    <t>MIH45T2HN18</t>
  </si>
  <si>
    <t>22026011001503</t>
  </si>
  <si>
    <t>MDVI3-56D2VD</t>
  </si>
  <si>
    <t>MIH56T2HN18</t>
  </si>
  <si>
    <t>22026011001513</t>
  </si>
  <si>
    <t>MDVI3-71D2VD</t>
  </si>
  <si>
    <t>MIH71T2HN18</t>
  </si>
  <si>
    <t>22026011001518</t>
  </si>
  <si>
    <t>MDVI3-80D2VD</t>
  </si>
  <si>
    <t>MIH80T2HN18</t>
  </si>
  <si>
    <t>22026011001516</t>
  </si>
  <si>
    <t>MDVI3-90D2VD</t>
  </si>
  <si>
    <t>MIH90T2HN18</t>
  </si>
  <si>
    <t>22026011001499</t>
  </si>
  <si>
    <t>MDVI3-112D2VD</t>
  </si>
  <si>
    <t>MIH112T2HN18</t>
  </si>
  <si>
    <t>22026011001500</t>
  </si>
  <si>
    <t>MDVI3-125D2VD</t>
  </si>
  <si>
    <t>MIH125T2HN18</t>
  </si>
  <si>
    <t>22026011001511</t>
  </si>
  <si>
    <t>MDVI3-140D2VD</t>
  </si>
  <si>
    <t>MIH140T2HN18</t>
  </si>
  <si>
    <t>MDVI3-160D2VD</t>
  </si>
  <si>
    <t>MIH160T2HN18</t>
  </si>
  <si>
    <t>Small Airflow Rate 
Fresh Air Processing Unit</t>
  </si>
  <si>
    <t>MIH90FASHN18</t>
  </si>
  <si>
    <t>MIH140FASHN18</t>
  </si>
  <si>
    <t>MIH160FASHN18</t>
  </si>
  <si>
    <t>MIH224FASHN18</t>
  </si>
  <si>
    <t>MIH280FASHN18</t>
  </si>
  <si>
    <t>MIH200FAHN18</t>
  </si>
  <si>
    <t>MIH224FAHN18</t>
  </si>
  <si>
    <t>MIH252FAHN18</t>
  </si>
  <si>
    <t>MIH280FAHN18</t>
  </si>
  <si>
    <t>MIH335FAHN18</t>
  </si>
  <si>
    <t>MIH400FAHN18</t>
  </si>
  <si>
    <t>MIH450FAHN18</t>
  </si>
  <si>
    <t>MIH560FAHN18</t>
  </si>
  <si>
    <t>Wall-mounted unit</t>
  </si>
  <si>
    <t>MIH15GHN18</t>
  </si>
  <si>
    <t>MIH22GHN18</t>
  </si>
  <si>
    <t>MIH28GHN18</t>
  </si>
  <si>
    <t>MIH36GHN18</t>
  </si>
  <si>
    <t>MIH45GHN18</t>
  </si>
  <si>
    <t>MIH56GHN18</t>
  </si>
  <si>
    <t>MIH80GHN18</t>
  </si>
  <si>
    <t>Wall-mounted unit BLACK</t>
  </si>
  <si>
    <t>MDVI3-15WMVD-B</t>
  </si>
  <si>
    <t>MDVI3-22WMVD-B</t>
  </si>
  <si>
    <t>MDVI3-28WMVD-B</t>
  </si>
  <si>
    <t>MDVI3-36WMVD-B</t>
  </si>
  <si>
    <t>MDVI3-45WMVD-B</t>
  </si>
  <si>
    <t>MDVI3-56WMVD-B</t>
  </si>
  <si>
    <t>Two-Way Cassette</t>
  </si>
  <si>
    <t>MIH22Q2HN18</t>
  </si>
  <si>
    <t xml:space="preserve">1.Indoor temperature
detection control
3. Independent power supply
4. Long-distance on/off function
5. Long-distance alarm function
6. X1X2, PQE, D1D2, M1M2
7.Build-in drain pump 
8. Water level switch
9. Including remote controller RM12F1
10. full package box
</t>
  </si>
  <si>
    <t>MIH28Q2HN18</t>
  </si>
  <si>
    <t>MIH36Q2HN18</t>
  </si>
  <si>
    <t>MIH45Q2HN18</t>
  </si>
  <si>
    <t>MIH56Q2HN18</t>
  </si>
  <si>
    <t>MIH71Q2HN18</t>
  </si>
  <si>
    <t>T-MBQ2-01A</t>
  </si>
  <si>
    <t>Panel for two way cassette</t>
  </si>
  <si>
    <t>MIH18Q1HN18</t>
  </si>
  <si>
    <t>MIH22Q1HN18</t>
  </si>
  <si>
    <t>MIH28Q1HN18</t>
  </si>
  <si>
    <t>MIH36Q1HN18</t>
  </si>
  <si>
    <t>MIH45Q1HN18</t>
  </si>
  <si>
    <t>MIH56Q1HN18</t>
  </si>
  <si>
    <t>MIH71Q1HN18</t>
  </si>
  <si>
    <t>T-MBQ1-02E</t>
  </si>
  <si>
    <t>T-MBQ1-01E</t>
  </si>
  <si>
    <t>Panel for one way cassette 4.5-7.1kw</t>
  </si>
  <si>
    <t>New One-Way Cassette</t>
  </si>
  <si>
    <t>MIH18Q1HN18(A)</t>
  </si>
  <si>
    <t>MIH22Q1HN18(A)</t>
  </si>
  <si>
    <t>MIH28Q1HN18(A)</t>
  </si>
  <si>
    <t>MIH36Q1HN18(A)</t>
  </si>
  <si>
    <t>MIH45Q1HN18(A)</t>
  </si>
  <si>
    <t>MIH56Q1HN18(A)</t>
  </si>
  <si>
    <t>MIH71Q1HN18(A)</t>
  </si>
  <si>
    <t>T-MBQ1-01G</t>
  </si>
  <si>
    <t>T-MBQ1-02G</t>
  </si>
  <si>
    <t>Panel for 2.8/3.6 model</t>
  </si>
  <si>
    <t>T-MBQ1-03G</t>
  </si>
  <si>
    <t>Panel for 4.5/5.6/7.1 model</t>
  </si>
  <si>
    <t>Floor Standing
(concealed)</t>
  </si>
  <si>
    <t>MIH22F3HN18</t>
  </si>
  <si>
    <t>1.Indoor temperature detection control
2.Humidity control
3. Independent power supply
4. Long-distance on/off function
5. Long-distance alarm function
6. X1X2, PQE, D1D2, M1M2
9. Including remote controller WDC3-86S
10. full package box</t>
  </si>
  <si>
    <t>MIH28F3HN18</t>
  </si>
  <si>
    <t>MIH36F3HN18</t>
  </si>
  <si>
    <t>MIH45F3HN18</t>
  </si>
  <si>
    <t>MIH56F3HN18</t>
  </si>
  <si>
    <t>MIH71F3HN18</t>
  </si>
  <si>
    <t>MIH80F3HN18</t>
  </si>
  <si>
    <t>22026014000290  customize</t>
  </si>
  <si>
    <t>Floor Standing
 (front air intake)</t>
  </si>
  <si>
    <t>MIH22F4HN18</t>
  </si>
  <si>
    <t>22026014000295  customize</t>
  </si>
  <si>
    <t>MIH28F4HN18</t>
  </si>
  <si>
    <t>22026014000289  customize</t>
  </si>
  <si>
    <t>MIH36F4HN18</t>
  </si>
  <si>
    <t>22026014000288  customize</t>
  </si>
  <si>
    <t>MIH45F4HN18</t>
  </si>
  <si>
    <t>22026014000293  customize</t>
  </si>
  <si>
    <t>MIH56F4HN18</t>
  </si>
  <si>
    <t>22026014000285  customize</t>
  </si>
  <si>
    <t>MIH71F4HN18</t>
  </si>
  <si>
    <t>22026014000286  customize</t>
  </si>
  <si>
    <t>MIH80F4HN18</t>
  </si>
  <si>
    <t>Floor Standing 
(bottom air intake)</t>
  </si>
  <si>
    <t>MIH22F5HN18</t>
  </si>
  <si>
    <t>MIH28F5HN18</t>
  </si>
  <si>
    <t>MIH36F5HN18</t>
  </si>
  <si>
    <t>MIH45F5HN18</t>
  </si>
  <si>
    <t>MIH56F5HN18</t>
  </si>
  <si>
    <t>MIH71F5HN18</t>
  </si>
  <si>
    <t>MIH80F5HN18</t>
  </si>
  <si>
    <t>High static pressure duct</t>
  </si>
  <si>
    <t>MIH56T1HN18</t>
  </si>
  <si>
    <t>1.Indoor temperature detection control
2.Humidity control
3. Independent power supply
4. Long-distance on/off function
5. Long-distance alarm function
6. X1X2, PQE, D1D2, M1M2
7.Build-in drain pump 
8. Water level switch
9. Including remote controller WDC3-86S
10. full package box</t>
  </si>
  <si>
    <t>MIH71T1HN18</t>
  </si>
  <si>
    <t>MIH80T1HN18</t>
  </si>
  <si>
    <t>MIH90T1HN18</t>
  </si>
  <si>
    <t>MIH112T1HN18</t>
  </si>
  <si>
    <t>MIH125T1HN18</t>
  </si>
  <si>
    <t>MIH140T1HN18</t>
  </si>
  <si>
    <t>MIH160T1HN18</t>
  </si>
  <si>
    <t>MIH200T1HN18</t>
  </si>
  <si>
    <t>MIH224T1HN18</t>
  </si>
  <si>
    <t>MIH252T1HN18</t>
  </si>
  <si>
    <t>MIH280T1HN18</t>
  </si>
  <si>
    <t>MIH335T1HN18</t>
  </si>
  <si>
    <t>MIH400T1HN18</t>
  </si>
  <si>
    <t>MIH450T1HN18</t>
  </si>
  <si>
    <t>MIH560T1HN18</t>
  </si>
  <si>
    <t xml:space="preserve">Ceiling&amp;Floor
</t>
  </si>
  <si>
    <t>MIH36DLHN18</t>
  </si>
  <si>
    <t>1.Indoor temperature detection control
2.Humidity control
3. Independent power supply
4. Long-distance on/off function
5. Long-distance alarm function
6. X1X2, PQE, D1D2, M1M2
9. Including remote controller RM12F1
10. full package box</t>
  </si>
  <si>
    <t>MIH45DLHN18</t>
  </si>
  <si>
    <t>MIH56DLHN18</t>
  </si>
  <si>
    <t>MIH71DLHN18</t>
  </si>
  <si>
    <t>MIH80DLHN18</t>
  </si>
  <si>
    <t>22026013000460</t>
  </si>
  <si>
    <t>MIH90DLHN18</t>
  </si>
  <si>
    <t>MIH100DLHN18</t>
  </si>
  <si>
    <t>MIH112DLHN18</t>
  </si>
  <si>
    <t>MIH125DLHN18</t>
  </si>
  <si>
    <t>MIH140DLHN18</t>
  </si>
  <si>
    <t>V8 HRV</t>
  </si>
  <si>
    <t>220-240V~50Hz</t>
  </si>
  <si>
    <t>HRV-D200(C)</t>
  </si>
  <si>
    <t>200m³/h</t>
  </si>
  <si>
    <t>HRV-D300(C)</t>
  </si>
  <si>
    <t>300m³/h</t>
  </si>
  <si>
    <t>HRV-D400(C)</t>
  </si>
  <si>
    <t>400m³/h</t>
  </si>
  <si>
    <t>HRV-D500(C)</t>
  </si>
  <si>
    <t>500m³/h</t>
  </si>
  <si>
    <t>HRV-D800(C)</t>
  </si>
  <si>
    <t>800m³/h</t>
  </si>
  <si>
    <t>HRV-D1000(C)</t>
  </si>
  <si>
    <t>1000m³/h</t>
  </si>
  <si>
    <t>HRV-D1500(C)</t>
  </si>
  <si>
    <t>1500m³/h</t>
  </si>
  <si>
    <t>HRV-D2000(C)</t>
  </si>
  <si>
    <t>2000m³/h</t>
  </si>
  <si>
    <t>V8 controller</t>
  </si>
  <si>
    <t>RM12F1</t>
  </si>
  <si>
    <t>17317000010721</t>
  </si>
  <si>
    <t>Wireless controller for V8</t>
  </si>
  <si>
    <t>RM12 is different from current one?</t>
  </si>
  <si>
    <t>RM12F1 is for V8 VRF. Can also be used in V6 series. The difference between RM12 are as follows:
1)add sterilization and self-cleaning functions, 
2)change the ECOI key to Meta key,
3)delete the "follow me" function</t>
  </si>
  <si>
    <t>WDC3-86S</t>
  </si>
  <si>
    <t>17317100008335</t>
  </si>
  <si>
    <t>Wired controller for V8</t>
  </si>
  <si>
    <t>WDC3-86T</t>
  </si>
  <si>
    <t>WDC3-86T(white)</t>
  </si>
  <si>
    <t>17317100009278</t>
  </si>
  <si>
    <t>WDC3-86T-B</t>
  </si>
  <si>
    <t>17317100009496</t>
  </si>
  <si>
    <t>GW3-KNX</t>
  </si>
  <si>
    <t>17211200003566</t>
  </si>
  <si>
    <t>KNX gateway for V8</t>
  </si>
  <si>
    <t>GW3-LON</t>
  </si>
  <si>
    <t>17211200003567</t>
  </si>
  <si>
    <t>Lonworks gateway for V8</t>
  </si>
  <si>
    <t>GW3-BAC</t>
  </si>
  <si>
    <t>17211200003362</t>
  </si>
  <si>
    <t>Bacnet gateway for V8</t>
  </si>
  <si>
    <t>GW3-MOD</t>
  </si>
  <si>
    <t>17211200003364</t>
  </si>
  <si>
    <t>Modbus gateway for V8</t>
  </si>
  <si>
    <t>GW3-CLOUD</t>
  </si>
  <si>
    <t>17211200003401</t>
  </si>
  <si>
    <t>Cloud service gateway for V8</t>
  </si>
  <si>
    <t>3rd central controller</t>
  </si>
  <si>
    <t>IMMPRO II</t>
  </si>
  <si>
    <t>17213500003725</t>
  </si>
  <si>
    <t>GW3-IMMProII-M0(WP)</t>
  </si>
  <si>
    <t>17211200004481</t>
  </si>
  <si>
    <t>TC3-7</t>
  </si>
  <si>
    <t>17311500001581</t>
  </si>
  <si>
    <t>TC3-10.1</t>
  </si>
  <si>
    <t>Controller assembly</t>
  </si>
  <si>
    <t>MA3-EK</t>
  </si>
  <si>
    <t>17211200003481</t>
  </si>
  <si>
    <t>Controller assembly XYE1to2(WP)</t>
  </si>
  <si>
    <t>V8 Outdoor branch joints</t>
  </si>
  <si>
    <r>
      <rPr>
        <sz val="10"/>
        <rFont val="Times New Roman"/>
        <family val="1"/>
      </rPr>
      <t>For V8 top discharge ODU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ODU capacity</t>
    </r>
    <r>
      <rPr>
        <sz val="10"/>
        <rFont val="微软雅黑"/>
        <family val="2"/>
        <charset val="134"/>
      </rPr>
      <t>＜</t>
    </r>
    <r>
      <rPr>
        <sz val="10"/>
        <rFont val="Times New Roman"/>
        <family val="1"/>
      </rPr>
      <t>56HP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2 ODUs combination</t>
    </r>
  </si>
  <si>
    <t>FQZHW-02N1G</t>
  </si>
  <si>
    <t>15111700002054</t>
  </si>
  <si>
    <r>
      <rPr>
        <sz val="10"/>
        <rFont val="Times New Roman"/>
        <family val="1"/>
      </rPr>
      <t>For V8 top discharge ODU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ODU capacity</t>
    </r>
    <r>
      <rPr>
        <sz val="10"/>
        <rFont val="微软雅黑"/>
        <family val="2"/>
        <charset val="134"/>
      </rPr>
      <t>≥</t>
    </r>
    <r>
      <rPr>
        <sz val="10"/>
        <rFont val="Times New Roman"/>
        <family val="1"/>
      </rPr>
      <t>56HP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2 ODUs combination</t>
    </r>
  </si>
  <si>
    <r>
      <rPr>
        <sz val="10"/>
        <rFont val="Times New Roman"/>
        <family val="1"/>
      </rPr>
      <t>For V8 top discharge ODU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ODU capacity</t>
    </r>
    <r>
      <rPr>
        <sz val="10"/>
        <rFont val="微软雅黑"/>
        <family val="2"/>
        <charset val="134"/>
      </rPr>
      <t>≤</t>
    </r>
    <r>
      <rPr>
        <sz val="10"/>
        <rFont val="Times New Roman"/>
        <family val="1"/>
      </rPr>
      <t>96HP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3 ODUs combination</t>
    </r>
  </si>
  <si>
    <t>FQZHW-03N1G</t>
  </si>
  <si>
    <t>15111700002055</t>
  </si>
  <si>
    <r>
      <rPr>
        <sz val="10"/>
        <rFont val="Times New Roman"/>
        <family val="1"/>
      </rPr>
      <t>For V8 top discharge ODU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ODU capacity</t>
    </r>
    <r>
      <rPr>
        <sz val="10"/>
        <rFont val="微软雅黑"/>
        <family val="2"/>
        <charset val="134"/>
      </rPr>
      <t>＞</t>
    </r>
    <r>
      <rPr>
        <sz val="10"/>
        <rFont val="Times New Roman"/>
        <family val="1"/>
      </rPr>
      <t>96HP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3 ODUs combination</t>
    </r>
  </si>
  <si>
    <r>
      <rPr>
        <sz val="10"/>
        <rFont val="Times New Roman"/>
        <family val="1"/>
      </rPr>
      <t>For V8 top discharge ODU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ODU capacity</t>
    </r>
    <r>
      <rPr>
        <sz val="10"/>
        <rFont val="微软雅黑"/>
        <family val="2"/>
        <charset val="134"/>
      </rPr>
      <t>≤</t>
    </r>
    <r>
      <rPr>
        <sz val="10"/>
        <rFont val="Times New Roman"/>
        <family val="1"/>
      </rPr>
      <t>82HP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4 ODUs combination</t>
    </r>
  </si>
  <si>
    <t>FQZHW-04N1G</t>
  </si>
  <si>
    <t>15111700002174</t>
  </si>
  <si>
    <r>
      <rPr>
        <sz val="10"/>
        <rFont val="Times New Roman"/>
        <family val="1"/>
      </rPr>
      <t>For V8 top discharge ODU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ODU capacity</t>
    </r>
    <r>
      <rPr>
        <sz val="10"/>
        <rFont val="微软雅黑"/>
        <family val="2"/>
        <charset val="134"/>
      </rPr>
      <t>＞</t>
    </r>
    <r>
      <rPr>
        <sz val="10"/>
        <rFont val="Times New Roman"/>
        <family val="1"/>
      </rPr>
      <t>82HP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4 ODUs combination</t>
    </r>
  </si>
  <si>
    <r>
      <rPr>
        <sz val="10"/>
        <rFont val="Times New Roman"/>
        <family val="1"/>
      </rPr>
      <t>For V8 side discharge ODU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2 ODUs combination</t>
    </r>
  </si>
  <si>
    <r>
      <rPr>
        <sz val="10"/>
        <rFont val="Times New Roman"/>
        <family val="1"/>
      </rPr>
      <t>For V8 side discharge ODU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3 ODUs combination</t>
    </r>
  </si>
  <si>
    <r>
      <rPr>
        <sz val="10"/>
        <rFont val="Times New Roman"/>
        <family val="1"/>
      </rPr>
      <t>For V8 side discharge ODU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4 ODUs combination</t>
    </r>
  </si>
  <si>
    <t>V8 Indoor branch joints</t>
  </si>
  <si>
    <r>
      <rPr>
        <sz val="10"/>
        <rFont val="Times New Roman"/>
        <family val="1"/>
      </rPr>
      <t xml:space="preserve">For V8 IDU </t>
    </r>
    <r>
      <rPr>
        <sz val="10"/>
        <rFont val="微软雅黑"/>
        <family val="2"/>
        <charset val="134"/>
      </rPr>
      <t>（</t>
    </r>
    <r>
      <rPr>
        <sz val="10"/>
        <rFont val="Times New Roman"/>
        <family val="1"/>
      </rPr>
      <t>2-pipe system</t>
    </r>
    <r>
      <rPr>
        <sz val="10"/>
        <rFont val="微软雅黑"/>
        <family val="2"/>
        <charset val="134"/>
      </rPr>
      <t>）</t>
    </r>
  </si>
  <si>
    <t>FQZHN-07D</t>
  </si>
  <si>
    <t>15111700001466</t>
  </si>
  <si>
    <t>V8 Indoor branch header</t>
  </si>
  <si>
    <r>
      <rPr>
        <sz val="10"/>
        <rFont val="Times New Roman"/>
        <family val="1"/>
      </rPr>
      <t xml:space="preserve">For V8 IDU </t>
    </r>
    <r>
      <rPr>
        <sz val="10"/>
        <rFont val="微软雅黑"/>
        <family val="2"/>
        <charset val="134"/>
      </rPr>
      <t>（</t>
    </r>
    <r>
      <rPr>
        <sz val="10"/>
        <rFont val="Times New Roman"/>
        <family val="1"/>
      </rPr>
      <t>2-pipe system</t>
    </r>
    <r>
      <rPr>
        <sz val="10"/>
        <rFont val="微软雅黑"/>
        <family val="2"/>
        <charset val="134"/>
      </rPr>
      <t>），</t>
    </r>
    <r>
      <rPr>
        <sz val="10"/>
        <rFont val="Times New Roman"/>
        <family val="1"/>
      </rPr>
      <t xml:space="preserve"> one drive four </t>
    </r>
  </si>
  <si>
    <r>
      <rPr>
        <sz val="10"/>
        <rFont val="Times New Roman"/>
        <family val="1"/>
      </rPr>
      <t xml:space="preserve">For V8 IDU </t>
    </r>
    <r>
      <rPr>
        <sz val="10"/>
        <rFont val="微软雅黑"/>
        <family val="2"/>
        <charset val="134"/>
      </rPr>
      <t>（</t>
    </r>
    <r>
      <rPr>
        <sz val="10"/>
        <rFont val="Times New Roman"/>
        <family val="1"/>
      </rPr>
      <t>2-pipe system</t>
    </r>
    <r>
      <rPr>
        <sz val="10"/>
        <rFont val="微软雅黑"/>
        <family val="2"/>
        <charset val="134"/>
      </rPr>
      <t>），</t>
    </r>
    <r>
      <rPr>
        <sz val="10"/>
        <rFont val="Times New Roman"/>
        <family val="1"/>
      </rPr>
      <t xml:space="preserve"> one drive eight</t>
    </r>
  </si>
  <si>
    <t>V8 Q4-C filter</t>
  </si>
  <si>
    <t>T-MBQ4-03E.3</t>
  </si>
  <si>
    <t>12126000003264</t>
  </si>
  <si>
    <t>F6 filter assembly (with iron mounting frame, packed in carton)</t>
  </si>
  <si>
    <t>V8 Q4 filter(only for EU models)</t>
  </si>
  <si>
    <t>T-MBQ4-01E.3A</t>
  </si>
  <si>
    <t>12126000003365</t>
  </si>
  <si>
    <t>GLW-Q4E1G3</t>
  </si>
  <si>
    <t>12112900A13530</t>
  </si>
  <si>
    <t>G3 filter assembly (with iron mounting frame, packed in carton)</t>
  </si>
  <si>
    <t>V8 Arc duct filter</t>
  </si>
  <si>
    <t>MDV-D22T2/BP4DN1-A-8</t>
  </si>
  <si>
    <t>12125200001957</t>
  </si>
  <si>
    <r>
      <rPr>
        <sz val="10"/>
        <rFont val="Times New Roman"/>
        <family val="1"/>
      </rPr>
      <t>F6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For Arc duct unit 15-28 model</t>
    </r>
  </si>
  <si>
    <t>MDV-D36T2/BP4DN1-A-8</t>
  </si>
  <si>
    <t>12125200001962</t>
  </si>
  <si>
    <r>
      <rPr>
        <sz val="10"/>
        <rFont val="Times New Roman"/>
        <family val="1"/>
      </rPr>
      <t>F6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For Arc duct unit 36 model</t>
    </r>
  </si>
  <si>
    <t>MDV-D56T2/BP4DN1-A-8</t>
  </si>
  <si>
    <t>12125200001963</t>
  </si>
  <si>
    <r>
      <rPr>
        <sz val="10"/>
        <rFont val="Times New Roman"/>
        <family val="1"/>
      </rPr>
      <t>F6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For Arc duct unit 45-56 model</t>
    </r>
  </si>
  <si>
    <t>MDV-D71T2/BP4DN1-A-8</t>
  </si>
  <si>
    <t>12125200001959</t>
  </si>
  <si>
    <r>
      <rPr>
        <sz val="10"/>
        <rFont val="Times New Roman"/>
        <family val="1"/>
      </rPr>
      <t>F6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For Arc duct unit 71 model</t>
    </r>
  </si>
  <si>
    <t>MDV-D112T2/BP4DN1-A-8</t>
  </si>
  <si>
    <t>12125200001964</t>
  </si>
  <si>
    <r>
      <rPr>
        <sz val="10"/>
        <rFont val="Times New Roman"/>
        <family val="1"/>
      </rPr>
      <t>F6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For Arc duct unit 80-112 model</t>
    </r>
  </si>
  <si>
    <t>V8 MSP duct filter</t>
  </si>
  <si>
    <t>MDIA-FT2-01A</t>
  </si>
  <si>
    <t>MIA-FT2-01A</t>
  </si>
  <si>
    <t>12126000003588</t>
  </si>
  <si>
    <r>
      <rPr>
        <sz val="10"/>
        <rFont val="Times New Roman"/>
        <family val="1"/>
      </rPr>
      <t>G3+F7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For MSP duct unit 22-45 model</t>
    </r>
  </si>
  <si>
    <t>MDIA-FT2-02A</t>
  </si>
  <si>
    <t>MIA-FT2-02A</t>
  </si>
  <si>
    <t>12126000003589</t>
  </si>
  <si>
    <r>
      <rPr>
        <sz val="10"/>
        <rFont val="Times New Roman"/>
        <family val="1"/>
      </rPr>
      <t>G3+F7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For MSP duct unit 56-71 model</t>
    </r>
  </si>
  <si>
    <t>MDIA-FT2-03A</t>
  </si>
  <si>
    <t>MIA-FT2-03A</t>
  </si>
  <si>
    <t>12126000003585</t>
  </si>
  <si>
    <r>
      <rPr>
        <sz val="10"/>
        <rFont val="Times New Roman"/>
        <family val="1"/>
      </rPr>
      <t>G3+F7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For MSP duct unit 80-90 model</t>
    </r>
  </si>
  <si>
    <t>MDIA-FT2-04A</t>
  </si>
  <si>
    <t>MIA-FT2-04A</t>
  </si>
  <si>
    <t>12126000003587</t>
  </si>
  <si>
    <r>
      <rPr>
        <sz val="10"/>
        <rFont val="Times New Roman"/>
        <family val="1"/>
      </rPr>
      <t>G3+F7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For MSP duct unit 112-160 model</t>
    </r>
  </si>
  <si>
    <t>MDIA-FT2-01B</t>
  </si>
  <si>
    <t>MIA-FT2-01B</t>
  </si>
  <si>
    <t>12126000003583</t>
  </si>
  <si>
    <r>
      <rPr>
        <sz val="10"/>
        <rFont val="Times New Roman"/>
        <family val="1"/>
      </rPr>
      <t>G3+H12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For MSP duct unit 22-45 model</t>
    </r>
  </si>
  <si>
    <t>MDIA-FT2-02B</t>
  </si>
  <si>
    <t>MIA-FT2-02B</t>
  </si>
  <si>
    <t>12126000003584</t>
  </si>
  <si>
    <r>
      <rPr>
        <sz val="10"/>
        <rFont val="Times New Roman"/>
        <family val="1"/>
      </rPr>
      <t>G3+H12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For MSP duct unit 56-71 model</t>
    </r>
  </si>
  <si>
    <t>MDIA-FT2-03B</t>
  </si>
  <si>
    <t>MIA-FT2-03B</t>
  </si>
  <si>
    <t>12126000003586</t>
  </si>
  <si>
    <r>
      <rPr>
        <sz val="10"/>
        <rFont val="Times New Roman"/>
        <family val="1"/>
      </rPr>
      <t>G3+H12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For MSP duct unit 80-90 model</t>
    </r>
  </si>
  <si>
    <t>MDIA-FT2-04B</t>
  </si>
  <si>
    <t>MIA-FT2-04B</t>
  </si>
  <si>
    <t>12126000003590</t>
  </si>
  <si>
    <r>
      <rPr>
        <sz val="10"/>
        <rFont val="Times New Roman"/>
        <family val="1"/>
      </rPr>
      <t>G3+H12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Times New Roman"/>
        <family val="1"/>
      </rPr>
      <t>For MSP duct unit 112-160 model</t>
    </r>
  </si>
  <si>
    <t>MDV-Link Repeater</t>
  </si>
  <si>
    <t>REPE-01</t>
  </si>
  <si>
    <t>AHU Kit V8 series</t>
  </si>
  <si>
    <t>AHUKZ-00F</t>
  </si>
  <si>
    <t>AHUKZ-01F</t>
  </si>
  <si>
    <t>AHUKZ-02F</t>
  </si>
  <si>
    <t>AHUKZ-03F</t>
  </si>
  <si>
    <t>AHUKZ-04F</t>
  </si>
  <si>
    <t>V8 pre-installation kit</t>
  </si>
  <si>
    <t>MIA-RK</t>
  </si>
  <si>
    <t>22012000000251</t>
  </si>
  <si>
    <t>EEV Kit for wall-mounted unit</t>
  </si>
  <si>
    <t>DZJLBJ-C-I</t>
  </si>
  <si>
    <t>15417400A00751</t>
  </si>
  <si>
    <t>EEV kit ,compatible with  1.5-5.6 KW V8 wall-mounted VRF IDU</t>
  </si>
  <si>
    <t>DZJLBJ-C-II</t>
  </si>
  <si>
    <t>15417400A00753</t>
  </si>
  <si>
    <t>EEV kit ,compatible with  7.1 KW V8 wall-mounted VRF IDU</t>
  </si>
  <si>
    <t>DZJLBJ-C-III</t>
  </si>
  <si>
    <t>15417400A00754</t>
  </si>
  <si>
    <t>EEV kit ,compatible with 8.0 KW V8 wall-mounted VRF IDU</t>
  </si>
  <si>
    <t>After-sales PCB checking kit</t>
  </si>
  <si>
    <t>MA3-APCB</t>
  </si>
  <si>
    <t>17227000007201</t>
  </si>
  <si>
    <t>MIDEA MODEL</t>
  </si>
  <si>
    <t>Capacity</t>
  </si>
  <si>
    <t>22027020003485</t>
  </si>
  <si>
    <t>22027020003425</t>
  </si>
  <si>
    <t>MI2-05GDHN18(At)</t>
  </si>
  <si>
    <t>MI2-07GDHN18(At)</t>
  </si>
  <si>
    <t>22026010000583</t>
  </si>
  <si>
    <t>MI2-09GDHN18(At)</t>
  </si>
  <si>
    <t>22026010000580</t>
  </si>
  <si>
    <t>MI2-12GDHN18(At)</t>
  </si>
  <si>
    <t>22026010000585</t>
  </si>
  <si>
    <t>22026010000559</t>
  </si>
  <si>
    <t>MI2-18GDHN18(At)</t>
  </si>
  <si>
    <t>22026010000561</t>
  </si>
  <si>
    <t>22026010000601</t>
  </si>
  <si>
    <t>22026010000602</t>
  </si>
  <si>
    <t>ATOM Branch pipe assembly</t>
  </si>
  <si>
    <t>DXFQT2-02</t>
  </si>
  <si>
    <t>Branch pipe assembly, mini VRF only</t>
  </si>
  <si>
    <t>DXFQT3-02</t>
  </si>
  <si>
    <t>DXFQT4-02</t>
  </si>
  <si>
    <t>DXFQT5-02</t>
  </si>
  <si>
    <t>DXFQT6-02</t>
  </si>
  <si>
    <t>ATOM CCU connection kit</t>
  </si>
  <si>
    <t>VCCUKZ-00(at)</t>
  </si>
  <si>
    <t>2,2 - 9,0kW</t>
  </si>
  <si>
    <t>VCCUKZ-01(at)</t>
  </si>
  <si>
    <t>9,0 - 16,0 kW</t>
  </si>
  <si>
    <t>Atom T ODU(EU Series)</t>
  </si>
  <si>
    <t>MDV-V80WHN8(At)</t>
  </si>
  <si>
    <t>MDV-V100WHN8(At)</t>
  </si>
  <si>
    <t>22027020003086</t>
  </si>
  <si>
    <t>MDV-V120WHN8(At)</t>
  </si>
  <si>
    <t>MDV-V140WHN8(At)</t>
  </si>
  <si>
    <t>MDV-V160WHN8(At)</t>
  </si>
  <si>
    <t>Atom T IDU with water tank</t>
  </si>
  <si>
    <t>SMKT-D100/190CGN8(At)</t>
  </si>
  <si>
    <t>190L</t>
  </si>
  <si>
    <t>SMKT-D160/240CGN8(At)</t>
  </si>
  <si>
    <t>240L</t>
  </si>
  <si>
    <t>hydraulic module</t>
  </si>
  <si>
    <t>SMK-D160N8(At)</t>
  </si>
  <si>
    <t>DHW Kit</t>
  </si>
  <si>
    <t>MHWK-120HN8</t>
  </si>
  <si>
    <t>DHW Tank</t>
  </si>
  <si>
    <t>MT-200R26E20</t>
  </si>
  <si>
    <t>MT-300R26E20</t>
  </si>
  <si>
    <t>AtomC VRF
Cooling only</t>
  </si>
  <si>
    <t>MDVC-V28WDHN1(AtC)</t>
  </si>
  <si>
    <t>MDVC-V36WDHN1(AtC)</t>
  </si>
  <si>
    <t>22027020003465</t>
  </si>
  <si>
    <t>MDVC-V42WDHN1(AtC)</t>
  </si>
  <si>
    <t>22027020003466</t>
  </si>
  <si>
    <t>MDVC-V48WDHN1(AtC)</t>
  </si>
  <si>
    <t>22027020003446</t>
  </si>
  <si>
    <t>MDVC-V56WDHN1(AtC)</t>
  </si>
  <si>
    <t>22027020003447</t>
  </si>
  <si>
    <t>MDVC-V60WDHN1(AtC)</t>
  </si>
  <si>
    <t>22027020003445</t>
  </si>
  <si>
    <t>MI2-05Q4CDHN18(At)</t>
  </si>
  <si>
    <t>MI2-07Q4CDHN18(At)</t>
  </si>
  <si>
    <t>MI2-09Q4CDHN18(At)</t>
  </si>
  <si>
    <t>MI2-12Q4CDHN18(At)</t>
  </si>
  <si>
    <t>MI2-15Q4CDHN18(At)</t>
  </si>
  <si>
    <t>MI2-18Q4CDHN18(At)</t>
  </si>
  <si>
    <t>MI2-21Q4CDHN18(At)</t>
  </si>
  <si>
    <t>MI2-09Q4DHN18(At)</t>
  </si>
  <si>
    <t>MI2-12Q4DHN18(At)</t>
  </si>
  <si>
    <t>MI2-15Q4DHN18(At)</t>
  </si>
  <si>
    <t>MI2-18Q4DHN18(At)</t>
  </si>
  <si>
    <t>MI2-24Q4DHN18(At)</t>
  </si>
  <si>
    <t>MI2-28Q4DHN18(At)</t>
  </si>
  <si>
    <t>MI2-32Q4DHN18(At)</t>
  </si>
  <si>
    <t>MI2-36Q4DHN18(At)</t>
  </si>
  <si>
    <t>MI2-40Q4DHN18(At)</t>
  </si>
  <si>
    <t>MI2-48Q4DHN18(At)</t>
  </si>
  <si>
    <t>MI2-56Q4DHN18(At)</t>
  </si>
  <si>
    <t>MI2-60Q4DHN18(At)</t>
  </si>
  <si>
    <t>MI2-05T3DHN18(At)</t>
  </si>
  <si>
    <t>MI2-06T3DHN18(At)</t>
  </si>
  <si>
    <t>MI2-07T3DHN18(At)</t>
  </si>
  <si>
    <t>MI2-09T3DHN18(At)</t>
  </si>
  <si>
    <t>MI2-12T3DHN18(At)</t>
  </si>
  <si>
    <t>MI2-15T3DHN18(At)</t>
  </si>
  <si>
    <t>MI2-18T3DHN18(At)</t>
  </si>
  <si>
    <t>MI2-24T3DHN18(At)</t>
  </si>
  <si>
    <t>MI2-28T2DHN18(At)</t>
  </si>
  <si>
    <t>MI2-32T2DHN18(At)</t>
  </si>
  <si>
    <t>MI2-40T2DHN18(At)</t>
  </si>
  <si>
    <t>MI2-42T2DHN18(At)</t>
  </si>
  <si>
    <t>MI2-48T2DHN18(At)</t>
  </si>
  <si>
    <t>MI2-56T2DHN18(At)</t>
  </si>
  <si>
    <t>Type</t>
  </si>
  <si>
    <t>MIDEA model</t>
  </si>
  <si>
    <t xml:space="preserve">Capacity  (kw)       </t>
  </si>
  <si>
    <t>Cooling only</t>
  </si>
  <si>
    <t>Universal outdoor units</t>
  </si>
  <si>
    <t>Heat pump</t>
  </si>
  <si>
    <t>Cooling&amp;heating</t>
  </si>
  <si>
    <t>Industrial floor standing indoor units</t>
  </si>
  <si>
    <t>Side discharge</t>
  </si>
  <si>
    <t>MFSL-76HDN1</t>
  </si>
  <si>
    <t>22026014000375</t>
  </si>
  <si>
    <t>MFSL-96HDN1</t>
  </si>
  <si>
    <t>22026014000385</t>
  </si>
  <si>
    <t>MFSL-120HDN1</t>
  </si>
  <si>
    <t>22026014000367</t>
  </si>
  <si>
    <t>MFSL-150HDN1</t>
  </si>
  <si>
    <t>22026014000370</t>
  </si>
  <si>
    <t>MFSL-192HDN1</t>
  </si>
  <si>
    <t>22026014000382</t>
  </si>
  <si>
    <t>Top discharge</t>
  </si>
  <si>
    <t>MFTL-76HDN1</t>
  </si>
  <si>
    <t>22026014000365</t>
  </si>
  <si>
    <t>MFTL-96HDN1</t>
  </si>
  <si>
    <t>22026014000369</t>
  </si>
  <si>
    <t>MFTL-120HDN1</t>
  </si>
  <si>
    <t>22026014000376</t>
  </si>
  <si>
    <t>MFTL-150HDN1</t>
  </si>
  <si>
    <t>22026014000366</t>
  </si>
  <si>
    <t>MFTL-192HDN1</t>
  </si>
  <si>
    <t>22026014000380</t>
  </si>
  <si>
    <t>Quantum duct indoor units</t>
  </si>
  <si>
    <t>MHG-28HAN1</t>
  </si>
  <si>
    <t>MHG-48HAN1</t>
  </si>
  <si>
    <t>MHG-68HAN1</t>
  </si>
  <si>
    <t>MHG-76HAN1</t>
  </si>
  <si>
    <t>MHG-96HAN1</t>
  </si>
  <si>
    <t>MHG-120HAN1</t>
  </si>
  <si>
    <t>MHG-140HAN1</t>
  </si>
  <si>
    <t>MHG-150HAN1</t>
  </si>
  <si>
    <t>MHG-192HAN1</t>
  </si>
  <si>
    <t>MOUG-28HD1N1-R</t>
  </si>
  <si>
    <t>MOUG-48HD1N1-R</t>
  </si>
  <si>
    <t>MOUG-68HD1N1-R</t>
  </si>
  <si>
    <t>MOUG-76HD1N1-R</t>
  </si>
  <si>
    <t>MOUG-96HD1N1-R</t>
  </si>
  <si>
    <t>MOUG-120HD1N1-R</t>
  </si>
  <si>
    <t>MOUG-140HD1N1-R</t>
  </si>
  <si>
    <t>MOUG-150HD1N1-R</t>
  </si>
  <si>
    <t>MOUG-192HD1N1-R</t>
  </si>
  <si>
    <t>series</t>
  </si>
  <si>
    <t>type</t>
  </si>
  <si>
    <t>Capacity
(CFM)</t>
  </si>
  <si>
    <t>BOM code</t>
  </si>
  <si>
    <t>Photo</t>
  </si>
  <si>
    <t>Thermostat</t>
  </si>
  <si>
    <t>Duct</t>
  </si>
  <si>
    <t>CBO 22026211000561</t>
  </si>
  <si>
    <t>1. 3-row coil, 12 pa;
2. Standard with air return plenum and fitler, air intake from rear 
3. Two pipe fancoil</t>
  </si>
  <si>
    <t>CBO 22026211000540</t>
  </si>
  <si>
    <t>CBO 22026211000564</t>
  </si>
  <si>
    <t>CBO 22026211000580</t>
  </si>
  <si>
    <t>CBO 22026211000560</t>
  </si>
  <si>
    <t>CBO 22026211000562</t>
  </si>
  <si>
    <t>CBO 22026211000542</t>
  </si>
  <si>
    <t>CBO 22026211000565</t>
  </si>
  <si>
    <t>CBO 22026211000566</t>
  </si>
  <si>
    <t>CBO 22026211000563</t>
  </si>
  <si>
    <t>22026211000561</t>
  </si>
  <si>
    <t>1. 3-row coil, 30 pa;
2. Standard with air return plenum and fitler, air intake from rear 
3. Two pipe fancoil</t>
  </si>
  <si>
    <t>22026211000540</t>
  </si>
  <si>
    <t>22026211000564</t>
  </si>
  <si>
    <t>22026211000580</t>
  </si>
  <si>
    <t>22026211000560</t>
  </si>
  <si>
    <t>22026211000562</t>
  </si>
  <si>
    <t>22026211000542</t>
  </si>
  <si>
    <t>22026211000565</t>
  </si>
  <si>
    <t>22026211000566</t>
  </si>
  <si>
    <t>22026211000563</t>
  </si>
  <si>
    <t>1. 3-row coil, 50 pa;
2. Standard with air return plenum and fitler, air intake from rear 
3. Two pipe fancoil</t>
  </si>
  <si>
    <t>HSP duct fancoil</t>
  </si>
  <si>
    <t>MDKT3H-G70(100)</t>
  </si>
  <si>
    <t>800</t>
  </si>
  <si>
    <t>1000</t>
  </si>
  <si>
    <t>1200</t>
  </si>
  <si>
    <t>1400</t>
  </si>
  <si>
    <t>1600</t>
  </si>
  <si>
    <t>1800</t>
  </si>
  <si>
    <t>2200</t>
  </si>
  <si>
    <r>
      <rPr>
        <sz val="10"/>
        <rFont val="Times New Roman"/>
        <family val="1"/>
      </rPr>
      <t>MDKT3H-</t>
    </r>
    <r>
      <rPr>
        <b/>
        <sz val="10"/>
        <rFont val="Times New Roman"/>
        <family val="1"/>
      </rPr>
      <t>E</t>
    </r>
    <r>
      <rPr>
        <sz val="10"/>
        <rFont val="Times New Roman"/>
        <family val="1"/>
      </rPr>
      <t>G70(100)</t>
    </r>
  </si>
  <si>
    <r>
      <rPr>
        <sz val="10"/>
        <rFont val="Times New Roman"/>
        <family val="1"/>
      </rPr>
      <t xml:space="preserve">1. 3-row coil, 70~100 pa;
2. Brand new desgin;
3. Standard with air return plenum and fitler, air intake from rear
4. Two pipe fancoil
</t>
    </r>
    <r>
      <rPr>
        <b/>
        <sz val="10"/>
        <rFont val="Times New Roman"/>
        <family val="1"/>
      </rPr>
      <t>5.With EAH</t>
    </r>
  </si>
  <si>
    <t>New 4 rows duct</t>
  </si>
  <si>
    <t>4-Row Duct
2-pipe</t>
  </si>
  <si>
    <t>4 row duct, 2-pipe, ESP 30Pa, AC fan
•	Right connection
•	plastic drain pan
•	Nylon filter(G1)
•	Standard with air return plenum and filter,  air intake from rear (from below as option)</t>
  </si>
  <si>
    <t>4 row duct, 2-pipe, ESP 50Pa, AC fan
•	Right connection
•	plastic drain pan
•	Nylon filter(G1)
•	Standard with air return plenum and filter,  air intake from rear (from below as option)</t>
  </si>
  <si>
    <t>4-Row Duct
4-pipe</t>
  </si>
  <si>
    <t>4 row duct, 4-pipe, ESP 30Pa, AC fan
•	Right connection
•	plastic drain pan
•	Nylon filter(G1)
•	Standard with air return plenum and filter,  air intake from rear (from below as option)</t>
  </si>
  <si>
    <t>4 row duct, 4-pipe, ESP 50Pa, AC fan
•	Right connection
•	plastic drain pan
•	Nylon filter(G1)
•	Standard with air return plenum and filter,  air intake from rear (from below as option)</t>
  </si>
  <si>
    <t>KJRP-86A4/BMFNKD-E</t>
  </si>
  <si>
    <t>Gray color</t>
  </si>
  <si>
    <t>KJRP-86A5/BMFNKD-E</t>
  </si>
  <si>
    <t>Golden color</t>
  </si>
  <si>
    <t>White color</t>
  </si>
  <si>
    <t>Electronic thermostat:
1. Timer function
2. one button for ECO mode
3. Accuracy 0.5 °
4. Child lock
5. Error code display
6. Auto restart</t>
  </si>
  <si>
    <t>KJRP-86I/MFKS-E</t>
  </si>
  <si>
    <t>Electronic thermostat:
1. Timer function
2. one button for ECO mode
3. Accuracy 0.5 °
4. Child lock
5. Error code display
6. Auto restart
7. Three-wire valve function
8. Compatible with electri auxiliary heater models
9. Compatible with 2 pipe and 4 pipe models</t>
  </si>
  <si>
    <t xml:space="preserve">New appearance
Ceiling floor
</t>
  </si>
  <si>
    <t>MKH1-150-R3</t>
  </si>
  <si>
    <t>1. two pipe fancoil; 
2. air intake from front; 
3. casing with grills on intake and outlet side; 
4. drain pan for heat exchanger is standard (drain pan for 3 way valve is option) 
5. Flexible installation</t>
  </si>
  <si>
    <t>MKH1-250-R3</t>
  </si>
  <si>
    <t>MKH1-350-R3</t>
  </si>
  <si>
    <t>MKH1-500-R3</t>
  </si>
  <si>
    <t>MKH1-700-R3</t>
  </si>
  <si>
    <t>MKH1-800-R3</t>
  </si>
  <si>
    <t>MKH1-150-R4</t>
  </si>
  <si>
    <t>MKH1-250-R4</t>
  </si>
  <si>
    <t>MKH1-350-R4</t>
  </si>
  <si>
    <t>MKH1-500-R4</t>
  </si>
  <si>
    <t>MKH1-700-R4</t>
  </si>
  <si>
    <t>MKH1-800-R4</t>
  </si>
  <si>
    <t>1. two pipe fancoil; 
2. air intake from rear; 
3. casing with grills on intake and outlet side; 
4. drain pan for heat exchanger is standard (drain pan for 3 way valve is option) 
5. Flexible installation</t>
  </si>
  <si>
    <t>A pair of Supporting bar</t>
  </si>
  <si>
    <t>1. two pipe fancoil; 
2. air intake from rear; 
3. casing with grills on intake and outlet side; 
4. drain pan for heat exchanger is standard (drain pan for 3 way valve is option) 
5. Flexible installation
6. With built-in controller KJRP-86I/MFK-E</t>
  </si>
  <si>
    <t>1. two pipe fancoil; 
2. air intake from rear; 
3. drain pan for heat exchanger is standard (drain pan for 3 way valve is option) 
4. Flexible installation</t>
  </si>
  <si>
    <t>300</t>
  </si>
  <si>
    <t>400</t>
  </si>
  <si>
    <t>Additional drain pan for MDKH1 / MDKH2 / MDKH3 (for all models)</t>
  </si>
  <si>
    <t>Additional drain pan for MDKH 150-700R3/R4 (2 pcs per set)</t>
  </si>
  <si>
    <t>Additional drain pan for MDKH 800R3/R5 (2 pcs per set)</t>
  </si>
  <si>
    <t>code</t>
  </si>
  <si>
    <t>MDKD</t>
  </si>
  <si>
    <t>1. Compact Four way cassette type   
2. Two pipe fancoil                          
3. RM12 as standard
4.Build-in drain pump with 500mm head
5. Customized XYE and PQE port to connected to central controller and ModBus gateway as standard</t>
  </si>
  <si>
    <t>450</t>
  </si>
  <si>
    <t>500</t>
  </si>
  <si>
    <t>Panel for compact cassette</t>
  </si>
  <si>
    <t>compact FCU drain pan  for 3 way valve for MDKD-</t>
  </si>
  <si>
    <t>common FCU drain pan for 3 way valve for MDKA-</t>
  </si>
  <si>
    <t>MDKA-R</t>
  </si>
  <si>
    <t>600</t>
  </si>
  <si>
    <t>1. Common Four way cassette type
2. Two pipe fancoil                  
3. RM12 as standard 
4. Drain pan
5.Build-in drain pump with 750mm head
6.Customized XYE and PQE port to connected to central controller and ModBus gateway as standard</t>
  </si>
  <si>
    <t>750</t>
  </si>
  <si>
    <t>850</t>
  </si>
  <si>
    <t>950</t>
  </si>
  <si>
    <t>Panel for common cassette</t>
  </si>
  <si>
    <t>MDKC-R-B</t>
  </si>
  <si>
    <t>1. 2nd generation one-way cassette
2.Brand new design with ultrathin frame; 
3.New panel; 
4.RM12 as standard 
5.Build-in drain pump with 750mm head</t>
  </si>
  <si>
    <t>Panel for one-way cassette(300/400)</t>
  </si>
  <si>
    <t>Panel for one-way cassette(600)</t>
  </si>
  <si>
    <t>MDKD-S</t>
  </si>
  <si>
    <t>1. Compact Four way cassette type   
2. Four pipe fancoil; 
3. RM12 as standard 
4.Build-in drain pump with 500mm head
5. Customized XYE and PQE port to connected to central controller and ModBus gateway as standard</t>
  </si>
  <si>
    <t>FCU drain pan</t>
  </si>
  <si>
    <t>MDKA-F</t>
  </si>
  <si>
    <t>1. Common Four way cassette type
2. Four pipe fancoil; 
3. RM12 as standard 
4. Drain pan
5.Build-in drain pump with 750mm head
5. Customized XYE and PQE port to connected to central controller and ModBus gateway as standard</t>
  </si>
  <si>
    <t xml:space="preserve">
Cassette</t>
  </si>
  <si>
    <t>MKD-V300</t>
  </si>
  <si>
    <t>MKD-V400</t>
  </si>
  <si>
    <t>MKD-V500</t>
  </si>
  <si>
    <t>22026212000054</t>
  </si>
  <si>
    <t>MKA-V600R</t>
  </si>
  <si>
    <t>MKA-V750R</t>
  </si>
  <si>
    <t>MKA-V850R</t>
  </si>
  <si>
    <t>MKA-V950R</t>
  </si>
  <si>
    <t>MKA-V1200R</t>
  </si>
  <si>
    <t>MKA-V1500R</t>
  </si>
  <si>
    <t>panel for 2.8kw-14kw (four-way cassette)</t>
  </si>
  <si>
    <t>One-way cassette</t>
  </si>
  <si>
    <t>MKC-V300R-B</t>
  </si>
  <si>
    <t>MKC-V400R-B</t>
  </si>
  <si>
    <t xml:space="preserve">MBQ1-01D </t>
  </si>
  <si>
    <t>MKG-V200C</t>
  </si>
  <si>
    <t>200</t>
  </si>
  <si>
    <t>A panel</t>
  </si>
  <si>
    <t>MKG-V250C</t>
  </si>
  <si>
    <t>MKG-V300C</t>
  </si>
  <si>
    <t>MKG-V400C</t>
  </si>
  <si>
    <t>MKG-V500C</t>
  </si>
  <si>
    <t>MKG-V600C</t>
  </si>
  <si>
    <t>New
Ceiling
&amp;Floor</t>
  </si>
  <si>
    <t xml:space="preserve">
3-row
</t>
  </si>
  <si>
    <t>MKH1-V150-R3</t>
  </si>
  <si>
    <t xml:space="preserve">MKH1-V250-R3 </t>
  </si>
  <si>
    <t xml:space="preserve">MKH1-V350-R3 </t>
  </si>
  <si>
    <t xml:space="preserve">MKH1-V500-R3 </t>
  </si>
  <si>
    <t xml:space="preserve">MKH1-V700-R3 </t>
  </si>
  <si>
    <t xml:space="preserve">MKH1-V800-R3 </t>
  </si>
  <si>
    <t xml:space="preserve">
4-row</t>
  </si>
  <si>
    <t xml:space="preserve">MKH1-V150-R4 </t>
  </si>
  <si>
    <t xml:space="preserve">MKH1-V250-R4 </t>
  </si>
  <si>
    <t>MKH1-V350-R4</t>
  </si>
  <si>
    <t xml:space="preserve">MKH1-V500-R4 </t>
  </si>
  <si>
    <t xml:space="preserve">MKH1-V700-R4 </t>
  </si>
  <si>
    <t xml:space="preserve">MKH1-V800-R4 </t>
  </si>
  <si>
    <t xml:space="preserve">
3-row</t>
  </si>
  <si>
    <t xml:space="preserve">MKH3-V250-R3 </t>
  </si>
  <si>
    <t xml:space="preserve">MKH3-V350-R3 </t>
  </si>
  <si>
    <t xml:space="preserve">MKH3-V500-R3 </t>
  </si>
  <si>
    <t xml:space="preserve">MKH3-V700-R3 </t>
  </si>
  <si>
    <t xml:space="preserve">MKH3-V800-R3 </t>
  </si>
  <si>
    <t xml:space="preserve">
4-row
</t>
  </si>
  <si>
    <t xml:space="preserve">MKH3-V150-R4 </t>
  </si>
  <si>
    <t xml:space="preserve">MKH3-V250-R4 </t>
  </si>
  <si>
    <t xml:space="preserve">MKH3-V500-R4 </t>
  </si>
  <si>
    <t xml:space="preserve">MKH3-V700-R4 </t>
  </si>
  <si>
    <t xml:space="preserve">MKH3-V800-R4 </t>
  </si>
  <si>
    <t>DC CBS
3-row duct
default value of ESP is 12Pa, and 30/50 Pa can be adjust by dial switch</t>
  </si>
  <si>
    <t>22026211000626</t>
  </si>
  <si>
    <t>22026211000623</t>
  </si>
  <si>
    <t>22026211000625</t>
  </si>
  <si>
    <t>22026211000624</t>
  </si>
  <si>
    <t>22026211000621</t>
  </si>
  <si>
    <t>22026211000622</t>
  </si>
  <si>
    <t>22026211000628</t>
  </si>
  <si>
    <t>22026211000629</t>
  </si>
  <si>
    <t xml:space="preserve">
Compact Four-way cassette</t>
  </si>
  <si>
    <t xml:space="preserve">
Four-way cassette</t>
  </si>
  <si>
    <t>4 rows
customized</t>
  </si>
  <si>
    <t xml:space="preserve">
Ceiling&amp;Floor</t>
  </si>
  <si>
    <t>Accessories</t>
  </si>
  <si>
    <t>TWVK42</t>
  </si>
  <si>
    <t>15426200000494</t>
  </si>
  <si>
    <t>is for 2nd four pipe ceiling &amp; floor FCU 150-700R3/R4</t>
  </si>
  <si>
    <t>TWVK45</t>
  </si>
  <si>
    <t>15426200000493</t>
  </si>
  <si>
    <t xml:space="preserve"> is for 2nd four pipe ceiling &amp; floor FCU 800R3/R4</t>
  </si>
  <si>
    <t>CE-FP-204K/CSBP2.2</t>
  </si>
  <si>
    <t>Drainage pan for V8 platform 2-pipe 4-way cassette</t>
  </si>
  <si>
    <t>CE-FP-204K/CBP2.ZL</t>
  </si>
  <si>
    <t>3-way valve kit for MKAV-1200*-C</t>
  </si>
  <si>
    <t>CE-FP-102K/CBP2.ZL</t>
  </si>
  <si>
    <t>3-way valve kit for MKAV-600/700/800/1000*-C</t>
  </si>
  <si>
    <t xml:space="preserve">Capacity
 (kw)       </t>
  </si>
  <si>
    <t>Air cooled modular chiller</t>
  </si>
  <si>
    <t>Scroll type - R410a T3 Condition</t>
  </si>
  <si>
    <t>Scroll type - R410a, LAK</t>
  </si>
  <si>
    <t>MC-SS35-RN1L-B</t>
  </si>
  <si>
    <t>Chiller King Series</t>
  </si>
  <si>
    <t>MC-SS65/RN1</t>
  </si>
  <si>
    <t>21027120000258</t>
  </si>
  <si>
    <t>MC-SS130/RN1</t>
  </si>
  <si>
    <t>21027120000238</t>
  </si>
  <si>
    <t>Chiller King Plus</t>
  </si>
  <si>
    <t>MC-SS130-RN1TL</t>
  </si>
  <si>
    <t>MC-SS260-RN1TL</t>
  </si>
  <si>
    <t>MC-SU75-RN8L-B</t>
  </si>
  <si>
    <t>MC-SU90-RN8L-B</t>
  </si>
  <si>
    <t>MC-SU140-RN8L-B</t>
  </si>
  <si>
    <t>MC-SU180-RN8L-B</t>
  </si>
  <si>
    <t>Controller</t>
  </si>
  <si>
    <t>New wired controller for modular chiller, with weekly timer function, compatible with air-cooled modular Lon-work/BACnet Gateway and upper computer software.</t>
  </si>
  <si>
    <t>New touch-screen wired controller for modular chiller and Mini Chiller</t>
  </si>
  <si>
    <t>KJR-120H/BMWK03-E</t>
  </si>
  <si>
    <t>17317100003115</t>
  </si>
  <si>
    <t>KJR-120K/BMKO-E</t>
  </si>
  <si>
    <t>17317100006835</t>
  </si>
  <si>
    <t>flow switch</t>
  </si>
  <si>
    <t>Paddle type water flow switch</t>
  </si>
  <si>
    <t>mini Chiller</t>
  </si>
  <si>
    <t>mini chiller</t>
  </si>
  <si>
    <t>MGC-V5WD2N8-B2</t>
  </si>
  <si>
    <t>22025314000599</t>
  </si>
  <si>
    <t>1.220-240V-1N~50Hz
2.DC inverter compressors + DC fan motor
3.Built-in hydraulic module
4.Plate heat exchanger
5. KJRH-120K/BMKO-E as standard</t>
  </si>
  <si>
    <t>MGC-V7WD2N8-B2</t>
  </si>
  <si>
    <t>MGC-V9WD2N8-B2</t>
  </si>
  <si>
    <t>22025314000592</t>
  </si>
  <si>
    <t>MGC-V12WD2N8-B2</t>
  </si>
  <si>
    <t>MGC-V14WD2N8-B2</t>
  </si>
  <si>
    <t>MGC-V16WD2N8-B2</t>
  </si>
  <si>
    <t>MGC-V18WD2N8-B2</t>
  </si>
  <si>
    <t>MGC-V12WD2RN8-B</t>
  </si>
  <si>
    <t>22025314000596</t>
  </si>
  <si>
    <t>1.380-400V-3N~50Hz
2.DC inverter compressors + DC fan motor
3.Built-in hydraulic module
4.Plate heat exchanger
5. KJRH-120K/BMKO-E as standard</t>
  </si>
  <si>
    <t>MGC-V14WD2RN8-B</t>
  </si>
  <si>
    <t>22025314000597</t>
  </si>
  <si>
    <t>MGC-V16WD2RN8-B</t>
  </si>
  <si>
    <t>22025314000598</t>
  </si>
  <si>
    <t>Aqua thermal</t>
  </si>
  <si>
    <t>R32
R32
KJRM-120H2/BMWK Modbus</t>
  </si>
  <si>
    <t>Modbus RTU 
R32
KJRM-120H2/BMWK Modbus</t>
  </si>
  <si>
    <t>Without hydraulic module can be customized
R32
KJRM-120H2/BMWK Modbus</t>
  </si>
  <si>
    <t>R32
KJRM-120H2/BMWK Modbus</t>
  </si>
  <si>
    <t>MC-SU75M-RN8L-B</t>
  </si>
  <si>
    <t>R32With  hydraulic module</t>
  </si>
  <si>
    <t>MC-SU90M-RN8L-B</t>
  </si>
  <si>
    <t>Modbus RTU, With  hydraulic module</t>
  </si>
  <si>
    <t>MC-SU140M-RN8L-B</t>
  </si>
  <si>
    <t>With  hydraulic module</t>
  </si>
  <si>
    <t>MC-SU180M-RN8L-B</t>
  </si>
  <si>
    <t>GW-BAC(MC)</t>
  </si>
  <si>
    <t>17211200002201</t>
  </si>
  <si>
    <t>Aqua thermal Super
/T1/LA
DC Inverter
Plate heat exchanger
T1 application
LA</t>
  </si>
  <si>
    <t>R32</t>
  </si>
  <si>
    <t>MH-SU50-RN8L</t>
  </si>
  <si>
    <t>DC Inverter commercial type heat pump
Plate heat exchanger</t>
  </si>
  <si>
    <t>MH-SU65-RN8L</t>
  </si>
  <si>
    <t>MH-SU75-RN8L</t>
  </si>
  <si>
    <t>MH-SU110-RN8L</t>
  </si>
  <si>
    <t>MH-SU140-RN8L</t>
  </si>
  <si>
    <t>MH-SU50M-RN8L</t>
  </si>
  <si>
    <t>MH-SU65M-RN8L</t>
  </si>
  <si>
    <t>MH-SU75M-RN8L</t>
  </si>
  <si>
    <t>MH-SU110M-RN8L</t>
  </si>
  <si>
    <t>MH-SU140M-RN8L</t>
  </si>
  <si>
    <t>Factory Code</t>
  </si>
  <si>
    <t xml:space="preserve">Capacity  
(kw)       </t>
  </si>
  <si>
    <t>M thermal Arctic</t>
  </si>
  <si>
    <t xml:space="preserve">Mono
</t>
  </si>
  <si>
    <t>MHC-V4W/D2N8-B</t>
  </si>
  <si>
    <t>22025314000658</t>
  </si>
  <si>
    <t>R32
220-240V~50Hz</t>
  </si>
  <si>
    <t>MHC-V6W/D2N8-B</t>
  </si>
  <si>
    <t>22025314000654</t>
  </si>
  <si>
    <t>MHC-V8W/D2N8-B</t>
  </si>
  <si>
    <t>22025314000657</t>
  </si>
  <si>
    <t>MHC-V10W/D2N8-B</t>
  </si>
  <si>
    <t>22025314000656</t>
  </si>
  <si>
    <t>MHC-V12W/D2N8-B</t>
  </si>
  <si>
    <t>22025314000651</t>
  </si>
  <si>
    <t>MHC-V14W/D2N8-B</t>
  </si>
  <si>
    <t>22025314000652</t>
  </si>
  <si>
    <t>MHC-V16W/D2N8-B</t>
  </si>
  <si>
    <t>22025314000653</t>
  </si>
  <si>
    <t>MHC-V12W/D2RN8-B</t>
  </si>
  <si>
    <t>22025314000659</t>
  </si>
  <si>
    <t>R32
380-415V~3N-50Hz</t>
  </si>
  <si>
    <t>MHC-V14W/D2RN8-B</t>
  </si>
  <si>
    <t>22025314000655</t>
  </si>
  <si>
    <t>MHC-V16W/D2RN8-B</t>
  </si>
  <si>
    <t>22025314000660</t>
  </si>
  <si>
    <t>MHC-V18W/D2RN8</t>
  </si>
  <si>
    <t>22025314000491</t>
  </si>
  <si>
    <t>MHC-V22W/D2RN8</t>
  </si>
  <si>
    <t>22025314000493</t>
  </si>
  <si>
    <t>MHC-V26W/D2RN8</t>
  </si>
  <si>
    <t>22025314000471</t>
  </si>
  <si>
    <t>MHC-V30W/D2RN8</t>
  </si>
  <si>
    <t>22025314000492</t>
  </si>
  <si>
    <t>Split ODU</t>
  </si>
  <si>
    <t>MHA-V4W/D2N8-B</t>
  </si>
  <si>
    <t>22025314000618</t>
  </si>
  <si>
    <t>MHA-V6W/D2N8-B</t>
  </si>
  <si>
    <t>22025314000613</t>
  </si>
  <si>
    <t>MHA-V8W/D2N8-B</t>
  </si>
  <si>
    <t>22025314000616</t>
  </si>
  <si>
    <t>MHA-V10W/D2N8-B</t>
  </si>
  <si>
    <t>22025314000614</t>
  </si>
  <si>
    <t>MHA-V12W/D2N8-B</t>
  </si>
  <si>
    <t>22025314000634</t>
  </si>
  <si>
    <t>MHA-V14W/D2N8-B</t>
  </si>
  <si>
    <t>22025314000615</t>
  </si>
  <si>
    <t>MHA-V16W/D2N8-B</t>
  </si>
  <si>
    <t>MHA-V12W/D2RN8-B</t>
  </si>
  <si>
    <t>22025314000611</t>
  </si>
  <si>
    <t>MHA-V14W/D2RN8-B</t>
  </si>
  <si>
    <t>22025314000637</t>
  </si>
  <si>
    <t>MHA-V16W/D2RN8-B</t>
  </si>
  <si>
    <t>Split hydraulic module</t>
  </si>
  <si>
    <t>HB-A60/CGN8-B</t>
  </si>
  <si>
    <t>22025314000433</t>
  </si>
  <si>
    <r>
      <rPr>
        <sz val="10"/>
        <rFont val="Times New Roman"/>
        <family val="1"/>
      </rPr>
      <t>R32</t>
    </r>
    <r>
      <rPr>
        <sz val="10"/>
        <rFont val="宋体"/>
        <family val="3"/>
        <charset val="134"/>
      </rPr>
      <t>，</t>
    </r>
    <r>
      <rPr>
        <sz val="10"/>
        <rFont val="Times New Roman"/>
        <family val="1"/>
      </rPr>
      <t xml:space="preserve">380-415V~3N-50Hz
additional electrical heater: 3kw: </t>
    </r>
    <r>
      <rPr>
        <sz val="10"/>
        <color rgb="FFFF0000"/>
        <rFont val="Times New Roman"/>
        <family val="1"/>
      </rPr>
      <t>88</t>
    </r>
    <r>
      <rPr>
        <sz val="10"/>
        <rFont val="Times New Roman"/>
        <family val="1"/>
      </rPr>
      <t xml:space="preserve"> USD, 9kw: 120 USD</t>
    </r>
  </si>
  <si>
    <t>HB-A100/CGN8-B</t>
  </si>
  <si>
    <t>22025314000432</t>
  </si>
  <si>
    <t>HB-A160/CGN8-B</t>
  </si>
  <si>
    <t>22025314000431</t>
  </si>
  <si>
    <t>Split IDU with tank</t>
  </si>
  <si>
    <t>HBT-A100/190CD30GN8-B</t>
  </si>
  <si>
    <t>22025331000061</t>
  </si>
  <si>
    <t>R32
3kw heater: 220-240V~50Hz
9kw heater: 380-415V~3N-50Hz</t>
  </si>
  <si>
    <t>HBT-A160/240CD30GN8-B</t>
  </si>
  <si>
    <t>22025331000062</t>
  </si>
  <si>
    <t>HBT-A160/240CDS90GN8-B</t>
  </si>
  <si>
    <t>HBT-A100/240CD30GN8-B</t>
  </si>
  <si>
    <t>HBT-A100/240CDS90GN8-B</t>
  </si>
  <si>
    <t>Commercial type Heat pump water heater</t>
  </si>
  <si>
    <t>220-240V-1N~50Hz</t>
  </si>
  <si>
    <t>380-415V 3N~50Hz</t>
  </si>
  <si>
    <t>pool heat pump</t>
  </si>
  <si>
    <t>MSC-70D2N8-A</t>
  </si>
  <si>
    <t>22025320000026</t>
  </si>
  <si>
    <t>MSC-90D2N8-A</t>
  </si>
  <si>
    <t>22025320000024</t>
  </si>
  <si>
    <t>MSC-120D2N8-A</t>
  </si>
  <si>
    <t>22025320000025</t>
  </si>
  <si>
    <t>MSC-160D2N8-A</t>
  </si>
  <si>
    <t>22025318000002</t>
  </si>
  <si>
    <t>MSC-200D2N8-A</t>
  </si>
  <si>
    <t>22025318000001</t>
  </si>
  <si>
    <t>M thermal Fit Series</t>
  </si>
  <si>
    <t>Split</t>
  </si>
  <si>
    <t>ORS6A8HCD-F</t>
  </si>
  <si>
    <t>ORS8A8HCD-F</t>
  </si>
  <si>
    <t>ORS11A8HCD-F</t>
  </si>
  <si>
    <t>ORS14A8HCD-F</t>
  </si>
  <si>
    <t>ORS16A8HCD-F</t>
  </si>
  <si>
    <t>ORS14TA8HCD-F</t>
  </si>
  <si>
    <t>380-415V~3N-50Hz</t>
  </si>
  <si>
    <t>ORS16TA8HCD-F</t>
  </si>
  <si>
    <t>OW8A8-F</t>
  </si>
  <si>
    <t>OW11A8-F</t>
  </si>
  <si>
    <t>OW16A8-F</t>
  </si>
  <si>
    <t>M thermal Hygge Series</t>
  </si>
  <si>
    <t>ORS12A8HCD-H</t>
  </si>
  <si>
    <t>22025314000932</t>
  </si>
  <si>
    <t>ORS14A8HCD-H</t>
  </si>
  <si>
    <t>22025314000934</t>
  </si>
  <si>
    <t>ORS16A8HCD-H</t>
  </si>
  <si>
    <t>22025314000935</t>
  </si>
  <si>
    <t>ORS12TA8HCD-H</t>
  </si>
  <si>
    <t>22025314000936</t>
  </si>
  <si>
    <t>ORS14TA8HCD-H</t>
  </si>
  <si>
    <t>22025314000933</t>
  </si>
  <si>
    <t>ORS16TA8HCD-H</t>
  </si>
  <si>
    <t>22025314000931</t>
  </si>
  <si>
    <t>OW16A8-H</t>
  </si>
  <si>
    <t>M thermal Nature</t>
  </si>
  <si>
    <t>Mono</t>
  </si>
  <si>
    <t>MHC-V8WD2N7-B</t>
  </si>
  <si>
    <t>22025314000859</t>
  </si>
  <si>
    <r>
      <rPr>
        <sz val="10"/>
        <rFont val="Times New Roman"/>
        <family val="1"/>
      </rPr>
      <t>220</t>
    </r>
    <r>
      <rPr>
        <sz val="10"/>
        <rFont val="宋体"/>
        <family val="3"/>
        <charset val="134"/>
      </rPr>
      <t>～</t>
    </r>
    <r>
      <rPr>
        <sz val="10"/>
        <rFont val="Times New Roman"/>
        <family val="1"/>
      </rPr>
      <t>240V</t>
    </r>
    <r>
      <rPr>
        <sz val="10"/>
        <rFont val="宋体"/>
        <family val="3"/>
        <charset val="134"/>
      </rPr>
      <t>～</t>
    </r>
    <r>
      <rPr>
        <sz val="10"/>
        <rFont val="Times New Roman"/>
        <family val="1"/>
      </rPr>
      <t xml:space="preserve"> 50Hz</t>
    </r>
  </si>
  <si>
    <t>MHC-V10WD2N7-B</t>
  </si>
  <si>
    <t>22025314000851</t>
  </si>
  <si>
    <t>MHC-V12WD2N7-B</t>
  </si>
  <si>
    <t>22025314000853</t>
  </si>
  <si>
    <t>MHC-V14WD2N7-B</t>
  </si>
  <si>
    <t>22025314000852</t>
  </si>
  <si>
    <t>MHC-V16WD2N7-B</t>
  </si>
  <si>
    <t>22025314000854</t>
  </si>
  <si>
    <t>MHC-V8WD2RN7-B</t>
  </si>
  <si>
    <t>22025314000860</t>
  </si>
  <si>
    <t>MHC-V10WD2RN7-B</t>
  </si>
  <si>
    <t>22025314000858</t>
  </si>
  <si>
    <t>MHC-V12WD2RN7-B</t>
  </si>
  <si>
    <t>22025314000856</t>
  </si>
  <si>
    <t>MHC-V14WD2RN7-B</t>
  </si>
  <si>
    <t>22025314000855</t>
  </si>
  <si>
    <t>MHC-V16WD2RN7-B</t>
  </si>
  <si>
    <t>22025314000857</t>
  </si>
  <si>
    <t>Mars</t>
  </si>
  <si>
    <t>MHC-V26WD2RN7</t>
  </si>
  <si>
    <t>22025314001031</t>
  </si>
  <si>
    <t>MHC-V30WD2RN7</t>
  </si>
  <si>
    <t>22025314000912</t>
  </si>
  <si>
    <t>MHC-V35WD2RN7</t>
  </si>
  <si>
    <t>22025314000911</t>
  </si>
  <si>
    <t>BOM CODE</t>
  </si>
  <si>
    <t>Clima Creator</t>
  </si>
  <si>
    <t>1. R410A
2. Cooling &amp; heating
3. 380V/3ph/50hz;
4. side discharge</t>
  </si>
  <si>
    <t>1. R410A
2. Cooling only type;
3. 380V/3ph/50hz;
4. Tropical type
5. side discharge(Up&amp;down)</t>
  </si>
  <si>
    <t>MRCT-085CWN1-R(D) </t>
  </si>
  <si>
    <t>MRCT-100CWN1-R(D)</t>
  </si>
  <si>
    <t>MDV model</t>
  </si>
  <si>
    <t>MDV model (JAC)</t>
  </si>
  <si>
    <t>MDVO-V8252V2R1A(MA)</t>
  </si>
  <si>
    <t xml:space="preserve">1.Chassis electrical heater
2.Automatic refrigerant charging
3.Bluetooth module (with black box)
4.single outdoor unit  ratio 200%
5. V8 system can connect 30% indoor units
6. Auto dust-clean function
7. Humidity control (in IDU)
</t>
  </si>
  <si>
    <t>MDVO-V8280V2R1A(MA)</t>
  </si>
  <si>
    <t>MDVO-V8335V2R1A(MA)</t>
  </si>
  <si>
    <t>MDVO-V8400V2R1A(MA)</t>
  </si>
  <si>
    <t>MDVO-V8450V2R1A(MA)</t>
  </si>
  <si>
    <t>MDVO-V8500V2R1A(MA)</t>
  </si>
  <si>
    <t>MDVO-V8560V2R1A(MA)</t>
  </si>
  <si>
    <t>MDVO-V8615V2R1A(MA)</t>
  </si>
  <si>
    <t>MDVO-V8670V2R1A(MA)</t>
  </si>
  <si>
    <t>MDVO-V8730V2R1A(MA)</t>
  </si>
  <si>
    <t>MDVO-V8785V2R1A(MA)</t>
  </si>
  <si>
    <t>MDVO-V8850V2R1A(MA)</t>
  </si>
  <si>
    <t>MDVO-V8900V2R1A(MA)</t>
  </si>
  <si>
    <t>MDVO-V8950V2R1A(MA)</t>
  </si>
  <si>
    <t>MDVO-V81010V2R1A(MA)</t>
  </si>
  <si>
    <t>MDVO-V81060V2R1A(MA)</t>
  </si>
  <si>
    <t>MDVO-V81120V2R1A(MA)</t>
  </si>
  <si>
    <t>MDVO-V8i252V2R1A(MA)</t>
  </si>
  <si>
    <t>MDVO-V8i280V2R1A(MA)</t>
  </si>
  <si>
    <t>MDVO-V8i335V2R1A(MA)</t>
  </si>
  <si>
    <t>MDVO-V8i400V2R1A(MA)</t>
  </si>
  <si>
    <t>MDVO-V8i450V2R1A(MA)</t>
  </si>
  <si>
    <t>MDVO-V8i500V2R1A(MA)</t>
  </si>
  <si>
    <t>MDVO-V8i560V2R1A(MA)</t>
  </si>
  <si>
    <t>MDVO-V8i615V2R1A(MA)</t>
  </si>
  <si>
    <t>MDVO-V8i670V2R1A(MA)</t>
  </si>
  <si>
    <t>MDVO-V8i730V2R1A(MA)</t>
  </si>
  <si>
    <t>MDVO-V8i785V2R1A(MA)</t>
  </si>
  <si>
    <t>MDVO-V8i850V2R1A(MA)</t>
  </si>
  <si>
    <t>MDVO-V8i900V2R1A(MA)</t>
  </si>
  <si>
    <t>MDVO-V8i950V2R1A(MA)</t>
  </si>
  <si>
    <t>MDVO-V8i1010V2R1A(MA)</t>
  </si>
  <si>
    <t>MDVO-V8i1060V2R1A(MA)</t>
  </si>
  <si>
    <t>MDVO-V8i1120V2R1A(MA)</t>
  </si>
  <si>
    <t>MDVO-V8i1170V2R1A(MA)</t>
  </si>
  <si>
    <r>
      <rPr>
        <sz val="10"/>
        <color theme="1"/>
        <rFont val="Times New Roman"/>
        <family val="1"/>
      </rPr>
      <t xml:space="preserve">V8S
</t>
    </r>
    <r>
      <rPr>
        <i/>
        <sz val="10"/>
        <color theme="1"/>
        <rFont val="Times New Roman"/>
        <family val="1"/>
      </rPr>
      <t>(Projects, CIS sales only)</t>
    </r>
  </si>
  <si>
    <t>MDVO-V8S252V2R1A</t>
  </si>
  <si>
    <r>
      <rPr>
        <u/>
        <sz val="10"/>
        <color rgb="FFFF0000"/>
        <rFont val="Times New Roman"/>
        <family val="1"/>
      </rPr>
      <t>1.Chassis electrical heater - не включено</t>
    </r>
    <r>
      <rPr>
        <sz val="10"/>
        <color theme="1"/>
        <rFont val="Times New Roman"/>
        <family val="1"/>
      </rPr>
      <t xml:space="preserve">
2.Automatic refrigerant charging
3.Bluetooth module (with black box)
4.single outdoor unit  ratio 200%
5. V8 system can connect 30% indoor units
6. Auto dust-clean function
7. Humidity control (in IDU)</t>
    </r>
  </si>
  <si>
    <t>MDVO-V8S280V2R1A</t>
  </si>
  <si>
    <t>MDVO-V8S335V2R1A</t>
  </si>
  <si>
    <t>MDVO-V8S400V2R1A</t>
  </si>
  <si>
    <t>MDVO-V8S450V2R1A</t>
  </si>
  <si>
    <t>MDVO-V8S500V2R1A</t>
  </si>
  <si>
    <t>MDVO-V8S560V2R1A</t>
  </si>
  <si>
    <t>MDVO-V8S615V2R1A</t>
  </si>
  <si>
    <t>MDVO-V8S670V2R1A</t>
  </si>
  <si>
    <t>MDVO-Vi252V2R1A</t>
  </si>
  <si>
    <t xml:space="preserve">1.Auto dust-clean function
2.Automatic refrigerant charging
3.Bluetooth module (with black box)
4.Wide combination ratio 30%-200%
5. Humidity control (in IDU)
</t>
  </si>
  <si>
    <t>MDVO-Vi280V2R1A</t>
  </si>
  <si>
    <t xml:space="preserve">MVi-280WV2GN1(B) </t>
  </si>
  <si>
    <t>MDVO-Vi335V2R1A</t>
  </si>
  <si>
    <t>MDVO-Vi400V2R1A</t>
  </si>
  <si>
    <t xml:space="preserve">MVi-400WV2GN1(A) </t>
  </si>
  <si>
    <t>MDVO-Vi450V2R1A</t>
  </si>
  <si>
    <t>MDVO-Vi500V2R1A</t>
  </si>
  <si>
    <t xml:space="preserve">MVi-500WV2GN1(A) </t>
  </si>
  <si>
    <t>MDVO-Vi560V2R1A</t>
  </si>
  <si>
    <t>MDVO-Vi615V2R1A</t>
  </si>
  <si>
    <t xml:space="preserve">MVi-615WV2GN1(A) </t>
  </si>
  <si>
    <t>MDVO-Vi670V2R1A</t>
  </si>
  <si>
    <t>MDVO-V8M120V2R1B</t>
  </si>
  <si>
    <r>
      <rPr>
        <sz val="10"/>
        <color theme="1"/>
        <rFont val="Times New Roman"/>
        <family val="1"/>
      </rPr>
      <t xml:space="preserve">1.Chassis electrical heater
2.Bluetooth module (with black box)
3.combination ratio 50%-130% (with V6 IDU)
</t>
    </r>
    <r>
      <rPr>
        <sz val="10"/>
        <color rgb="FFFF0000"/>
        <rFont val="Times New Roman"/>
        <family val="1"/>
      </rPr>
      <t>4. combination ratio 50%-160% (with V8 IDU)</t>
    </r>
  </si>
  <si>
    <t>MDVO-V8M140V2R1B</t>
  </si>
  <si>
    <t>MDVO-V8M160V2R1B</t>
  </si>
  <si>
    <t>22027020002667</t>
  </si>
  <si>
    <t>MDVO-V8M80V2R1E</t>
  </si>
  <si>
    <t>22027020002867</t>
  </si>
  <si>
    <t>MDVO-V8M100V2R1E</t>
  </si>
  <si>
    <t>MDVO-V8M120V2R1E</t>
  </si>
  <si>
    <t>22027020002869</t>
  </si>
  <si>
    <t>MDVO-V8M140V2R1E</t>
  </si>
  <si>
    <t>MDVO-V8M160V2R1E</t>
  </si>
  <si>
    <t>22027020002665</t>
  </si>
  <si>
    <t>MDVO-V8M180V2R1E</t>
  </si>
  <si>
    <t>MDV-V8M180V2R1E</t>
  </si>
  <si>
    <t>MV8M-180WV2HN1</t>
  </si>
  <si>
    <t>MDVO-V8M120V2R8B</t>
  </si>
  <si>
    <t>1.Chassis electrical heater
2.Bluetooth module (with black box)
3. combination ratio 50%-160% (with V8 IDU)</t>
  </si>
  <si>
    <t>MDVO-V8M140V2R8B</t>
  </si>
  <si>
    <t>MDVO-V8M160V2R8B</t>
  </si>
  <si>
    <t>MDVO-V8M180V2R8B</t>
  </si>
  <si>
    <t>MDVO-V8M80V2R8E</t>
  </si>
  <si>
    <t>MDVO-V8M100V2R8E</t>
  </si>
  <si>
    <t>MDVO-V8M120V2R8E</t>
  </si>
  <si>
    <t>MDVO-V8M140V2R8E</t>
  </si>
  <si>
    <t>MDVO-V8M160V2R8E</t>
  </si>
  <si>
    <t>MDVO-V8M180V2R8E</t>
  </si>
  <si>
    <r>
      <rPr>
        <sz val="10"/>
        <color theme="1"/>
        <rFont val="Times New Roman"/>
        <family val="1"/>
      </rPr>
      <t xml:space="preserve">Compact Four-way cassette
</t>
    </r>
  </si>
  <si>
    <r>
      <rPr>
        <sz val="10"/>
        <color theme="1"/>
        <rFont val="Times New Roman"/>
        <family val="1"/>
      </rPr>
      <t xml:space="preserve">1.Indoor temperature
detection control
2.Humidity control
</t>
    </r>
    <r>
      <rPr>
        <sz val="10"/>
        <color rgb="FFFF0000"/>
        <rFont val="Times New Roman"/>
        <family val="1"/>
      </rPr>
      <t>3. Independent power supply
4. Long-distance on/off function
5. Long-distance alarm function</t>
    </r>
    <r>
      <rPr>
        <sz val="10"/>
        <color theme="1"/>
        <rFont val="Times New Roman"/>
        <family val="1"/>
      </rPr>
      <t xml:space="preserve">
</t>
    </r>
    <r>
      <rPr>
        <sz val="10"/>
        <color rgb="FFFF0000"/>
        <rFont val="Times New Roman"/>
        <family val="1"/>
      </rPr>
      <t>6. X1X2, PQE, D1D2, M1M2</t>
    </r>
    <r>
      <rPr>
        <sz val="10"/>
        <color theme="1"/>
        <rFont val="Times New Roman"/>
        <family val="1"/>
      </rPr>
      <t xml:space="preserve">
</t>
    </r>
    <r>
      <rPr>
        <sz val="10"/>
        <color rgb="FFFF0000"/>
        <rFont val="Times New Roman"/>
        <family val="1"/>
      </rPr>
      <t>7. Build-in drain pump 
8. Water level switch</t>
    </r>
  </si>
  <si>
    <t>panel for 1.5kw-6.3kw (compact cassette)</t>
  </si>
  <si>
    <r>
      <rPr>
        <sz val="10"/>
        <color theme="1"/>
        <rFont val="Times New Roman"/>
        <family val="1"/>
      </rPr>
      <t>panel for 1.5kw-6.3kw</t>
    </r>
    <r>
      <rPr>
        <sz val="10"/>
        <color theme="1"/>
        <rFont val="宋体"/>
        <family val="3"/>
        <charset val="134"/>
      </rPr>
      <t>，</t>
    </r>
    <r>
      <rPr>
        <sz val="10"/>
        <color theme="1"/>
        <rFont val="Times New Roman"/>
        <family val="1"/>
      </rPr>
      <t>include human sensor (compact cassette)</t>
    </r>
  </si>
  <si>
    <r>
      <rPr>
        <sz val="10"/>
        <color theme="1"/>
        <rFont val="Times New Roman"/>
        <family val="1"/>
      </rPr>
      <t xml:space="preserve">1.Indoor temperature
detection control
2.Humidity control
</t>
    </r>
    <r>
      <rPr>
        <sz val="10"/>
        <color rgb="FFFF0000"/>
        <rFont val="Times New Roman"/>
        <family val="1"/>
      </rPr>
      <t>3. Independent power supply
4. Long-distance on/off function
5. Long-distance alarm function</t>
    </r>
    <r>
      <rPr>
        <sz val="10"/>
        <color theme="1"/>
        <rFont val="Times New Roman"/>
        <family val="1"/>
      </rPr>
      <t xml:space="preserve">
</t>
    </r>
    <r>
      <rPr>
        <sz val="10"/>
        <color rgb="FFFF0000"/>
        <rFont val="Times New Roman"/>
        <family val="1"/>
      </rPr>
      <t>6. X1X2, PQE, D1D2, M1M2</t>
    </r>
    <r>
      <rPr>
        <sz val="10"/>
        <color theme="1"/>
        <rFont val="Times New Roman"/>
        <family val="1"/>
      </rPr>
      <t xml:space="preserve">
</t>
    </r>
    <r>
      <rPr>
        <sz val="10"/>
        <color rgb="FFFF0000"/>
        <rFont val="Times New Roman"/>
        <family val="1"/>
      </rPr>
      <t>7.Build-in drain pump 
8. Water level switch</t>
    </r>
  </si>
  <si>
    <t>panel for 2.8kw-14kw,include human sensor (four-way cassette)</t>
  </si>
  <si>
    <r>
      <rPr>
        <sz val="10"/>
        <color theme="1"/>
        <rFont val="Times New Roman"/>
        <family val="1"/>
      </rPr>
      <t xml:space="preserve">1.Indoor temperature
detection control
2.Humidity control
</t>
    </r>
    <r>
      <rPr>
        <sz val="10"/>
        <color rgb="FFFF0000"/>
        <rFont val="Times New Roman"/>
        <family val="1"/>
      </rPr>
      <t>3.Independent power supply
4. Long-distance on/off function
5. Long-distance alarm function</t>
    </r>
    <r>
      <rPr>
        <sz val="10"/>
        <color theme="1"/>
        <rFont val="Times New Roman"/>
        <family val="1"/>
      </rPr>
      <t xml:space="preserve">
</t>
    </r>
    <r>
      <rPr>
        <sz val="10"/>
        <color rgb="FFFF0000"/>
        <rFont val="Times New Roman"/>
        <family val="1"/>
      </rPr>
      <t>6. X1X2, PQE, D1D2, M1M2</t>
    </r>
    <r>
      <rPr>
        <sz val="10"/>
        <color theme="1"/>
        <rFont val="Times New Roman"/>
        <family val="1"/>
      </rPr>
      <t xml:space="preserve">
</t>
    </r>
    <r>
      <rPr>
        <sz val="10"/>
        <color rgb="FFFF0000"/>
        <rFont val="Times New Roman"/>
        <family val="1"/>
      </rPr>
      <t>7. High-lift drain pump
8. Water level switch</t>
    </r>
  </si>
  <si>
    <r>
      <rPr>
        <sz val="10"/>
        <color theme="1"/>
        <rFont val="Times New Roman"/>
        <family val="1"/>
      </rPr>
      <t xml:space="preserve">Medium Static Pressure Duct
</t>
    </r>
  </si>
  <si>
    <r>
      <rPr>
        <sz val="10"/>
        <color theme="1"/>
        <rFont val="Times New Roman"/>
        <family val="1"/>
      </rPr>
      <t xml:space="preserve">1.Indoor temperature
detection control
2.Humidity control
</t>
    </r>
    <r>
      <rPr>
        <sz val="10"/>
        <color rgb="FFFF0000"/>
        <rFont val="Times New Roman"/>
        <family val="1"/>
      </rPr>
      <t>3. Independent power supply
4. Long-distance on/off function
5. Long-distance alarm function</t>
    </r>
    <r>
      <rPr>
        <sz val="10"/>
        <color theme="1"/>
        <rFont val="Times New Roman"/>
        <family val="1"/>
      </rPr>
      <t xml:space="preserve">
</t>
    </r>
    <r>
      <rPr>
        <sz val="10"/>
        <color rgb="FFFF0000"/>
        <rFont val="Times New Roman"/>
        <family val="1"/>
      </rPr>
      <t>6. X1X2, PQE, D1D2, M1M2</t>
    </r>
    <r>
      <rPr>
        <sz val="10"/>
        <color theme="1"/>
        <rFont val="Times New Roman"/>
        <family val="1"/>
      </rPr>
      <t xml:space="preserve">
</t>
    </r>
    <r>
      <rPr>
        <sz val="10"/>
        <color rgb="FFFF0000"/>
        <rFont val="Times New Roman"/>
        <family val="1"/>
      </rPr>
      <t>7. High-lift drain pump
8. Water level switch</t>
    </r>
  </si>
  <si>
    <t>MDVI3-15WMVD</t>
  </si>
  <si>
    <t>1. Independent power supply
2. Horizontal swing 
3. Drain Pump + Water level switch
4. Long-distance on/off function
5. Long-distance alarm function
6. X1X2, PQE, D1D2, M1M2
7. Panel Z-MD-C
8. Humidity control
9. Indoor temperature
detection control</t>
  </si>
  <si>
    <t>MDVI3-22WMVD</t>
  </si>
  <si>
    <t>MDVI3-28WMVD</t>
  </si>
  <si>
    <t>MDVI3-36WMVD</t>
  </si>
  <si>
    <t>MDVI3-45WMVD</t>
  </si>
  <si>
    <t>MDVI3-56WMVD</t>
  </si>
  <si>
    <t>1. Independent power supply
2. Horizontal swing 
3. Drain Pump + Water level switch
4. Long-distance on/off function
5. Long-distance alarm function
6. X1X2, PQE, D1D2, M1M2
7. Panel Z-HS-C1
8. Humidity control
9. Indoor temperature
detection control</t>
  </si>
  <si>
    <t>17317100007377</t>
  </si>
  <si>
    <t>17317100008676</t>
  </si>
  <si>
    <t>V8 Q4 filter</t>
  </si>
  <si>
    <t xml:space="preserve">V8 MSP duct filter </t>
  </si>
  <si>
    <r>
      <t>Aqua thermal</t>
    </r>
    <r>
      <rPr>
        <sz val="10"/>
        <rFont val="宋体"/>
        <family val="3"/>
        <charset val="134"/>
      </rPr>
      <t>（</t>
    </r>
    <r>
      <rPr>
        <sz val="10"/>
        <rFont val="Calibri"/>
        <family val="2"/>
      </rPr>
      <t>M)</t>
    </r>
  </si>
  <si>
    <t>AC Cassette Fancoil</t>
    <phoneticPr fontId="46" type="noConversion"/>
  </si>
  <si>
    <r>
      <t xml:space="preserve">KNX  Protocol Gateway </t>
    </r>
    <r>
      <rPr>
        <sz val="10"/>
        <rFont val="宋体"/>
        <family val="3"/>
        <charset val="134"/>
      </rPr>
      <t>，</t>
    </r>
    <r>
      <rPr>
        <sz val="10"/>
        <rFont val="Calibri"/>
        <family val="2"/>
      </rPr>
      <t>facto name is MD-KNX-01</t>
    </r>
  </si>
  <si>
    <t>ARC Duct</t>
  </si>
  <si>
    <t>Panel for 1.8/2.2 model</t>
  </si>
  <si>
    <r>
      <t>WDC3-120T</t>
    </r>
    <r>
      <rPr>
        <sz val="10"/>
        <rFont val="Times New Roman"/>
        <family val="1"/>
      </rPr>
      <t>（</t>
    </r>
    <r>
      <rPr>
        <sz val="10"/>
        <rFont val="Calibri"/>
        <family val="2"/>
      </rPr>
      <t>white</t>
    </r>
    <r>
      <rPr>
        <sz val="10"/>
        <rFont val="Times New Roman"/>
        <family val="1"/>
      </rPr>
      <t>）</t>
    </r>
  </si>
  <si>
    <r>
      <t>WDC3-120T</t>
    </r>
    <r>
      <rPr>
        <sz val="10"/>
        <rFont val="宋体"/>
        <family val="3"/>
        <charset val="134"/>
      </rPr>
      <t>（</t>
    </r>
    <r>
      <rPr>
        <sz val="10"/>
        <rFont val="Calibri"/>
        <family val="2"/>
      </rPr>
      <t>Black</t>
    </r>
    <r>
      <rPr>
        <sz val="10"/>
        <rFont val="宋体"/>
        <family val="3"/>
        <charset val="134"/>
      </rPr>
      <t>）</t>
    </r>
  </si>
  <si>
    <r>
      <t>For V8 top discharge ODU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ODU capacity</t>
    </r>
    <r>
      <rPr>
        <sz val="10"/>
        <rFont val="微软雅黑"/>
        <family val="2"/>
        <charset val="134"/>
      </rPr>
      <t>＜</t>
    </r>
    <r>
      <rPr>
        <sz val="10"/>
        <rFont val="Calibri"/>
        <family val="2"/>
      </rPr>
      <t>56HP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2 ODUs combination</t>
    </r>
  </si>
  <si>
    <r>
      <t>For V8 top discharge ODU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ODU capacity</t>
    </r>
    <r>
      <rPr>
        <sz val="10"/>
        <rFont val="微软雅黑"/>
        <family val="2"/>
        <charset val="134"/>
      </rPr>
      <t>≥</t>
    </r>
    <r>
      <rPr>
        <sz val="10"/>
        <rFont val="Calibri"/>
        <family val="2"/>
      </rPr>
      <t>56HP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2 ODUs combination</t>
    </r>
  </si>
  <si>
    <r>
      <t>For V8 top discharge ODU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ODU capacity</t>
    </r>
    <r>
      <rPr>
        <sz val="10"/>
        <rFont val="微软雅黑"/>
        <family val="2"/>
        <charset val="134"/>
      </rPr>
      <t>≤</t>
    </r>
    <r>
      <rPr>
        <sz val="10"/>
        <rFont val="Calibri"/>
        <family val="2"/>
      </rPr>
      <t>96HP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3 ODUs combination</t>
    </r>
  </si>
  <si>
    <r>
      <t>For V8 top discharge ODU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ODU capacity</t>
    </r>
    <r>
      <rPr>
        <sz val="10"/>
        <rFont val="微软雅黑"/>
        <family val="2"/>
        <charset val="134"/>
      </rPr>
      <t>＞</t>
    </r>
    <r>
      <rPr>
        <sz val="10"/>
        <rFont val="Calibri"/>
        <family val="2"/>
      </rPr>
      <t>96HP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3 ODUs combination</t>
    </r>
  </si>
  <si>
    <r>
      <t>For V8 top discharge ODU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ODU capacity</t>
    </r>
    <r>
      <rPr>
        <sz val="10"/>
        <rFont val="微软雅黑"/>
        <family val="2"/>
        <charset val="134"/>
      </rPr>
      <t>≤</t>
    </r>
    <r>
      <rPr>
        <sz val="10"/>
        <rFont val="Calibri"/>
        <family val="2"/>
      </rPr>
      <t>82HP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4 ODUs combination</t>
    </r>
  </si>
  <si>
    <r>
      <t>For V8 top discharge ODU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ODU capacity</t>
    </r>
    <r>
      <rPr>
        <sz val="10"/>
        <rFont val="微软雅黑"/>
        <family val="2"/>
        <charset val="134"/>
      </rPr>
      <t>＞</t>
    </r>
    <r>
      <rPr>
        <sz val="10"/>
        <rFont val="Calibri"/>
        <family val="2"/>
      </rPr>
      <t>82HP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4 ODUs combination</t>
    </r>
  </si>
  <si>
    <r>
      <t>For V8 side discharge ODU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2 ODUs combination</t>
    </r>
  </si>
  <si>
    <r>
      <t>For V8 side discharge ODU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3 ODUs combination</t>
    </r>
  </si>
  <si>
    <r>
      <t>For V8 side discharge ODU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4 ODUs combination</t>
    </r>
  </si>
  <si>
    <r>
      <t xml:space="preserve">For V8 IDU </t>
    </r>
    <r>
      <rPr>
        <sz val="10"/>
        <rFont val="微软雅黑"/>
        <family val="2"/>
        <charset val="134"/>
      </rPr>
      <t>（</t>
    </r>
    <r>
      <rPr>
        <sz val="10"/>
        <rFont val="Calibri"/>
        <family val="2"/>
      </rPr>
      <t>2-pipe system</t>
    </r>
    <r>
      <rPr>
        <sz val="10"/>
        <rFont val="微软雅黑"/>
        <family val="2"/>
        <charset val="134"/>
      </rPr>
      <t>）</t>
    </r>
  </si>
  <si>
    <r>
      <t xml:space="preserve">For V8 IDU </t>
    </r>
    <r>
      <rPr>
        <sz val="10"/>
        <rFont val="微软雅黑"/>
        <family val="2"/>
        <charset val="134"/>
      </rPr>
      <t>（</t>
    </r>
    <r>
      <rPr>
        <sz val="10"/>
        <rFont val="Calibri"/>
        <family val="2"/>
      </rPr>
      <t>2-pipe system</t>
    </r>
    <r>
      <rPr>
        <sz val="10"/>
        <rFont val="微软雅黑"/>
        <family val="2"/>
        <charset val="134"/>
      </rPr>
      <t>），</t>
    </r>
    <r>
      <rPr>
        <sz val="10"/>
        <rFont val="Calibri"/>
        <family val="2"/>
      </rPr>
      <t xml:space="preserve"> one drive four </t>
    </r>
  </si>
  <si>
    <r>
      <t xml:space="preserve">For V8 IDU </t>
    </r>
    <r>
      <rPr>
        <sz val="10"/>
        <rFont val="微软雅黑"/>
        <family val="2"/>
        <charset val="134"/>
      </rPr>
      <t>（</t>
    </r>
    <r>
      <rPr>
        <sz val="10"/>
        <rFont val="Calibri"/>
        <family val="2"/>
      </rPr>
      <t>2-pipe system</t>
    </r>
    <r>
      <rPr>
        <sz val="10"/>
        <rFont val="微软雅黑"/>
        <family val="2"/>
        <charset val="134"/>
      </rPr>
      <t>），</t>
    </r>
    <r>
      <rPr>
        <sz val="10"/>
        <rFont val="Calibri"/>
        <family val="2"/>
      </rPr>
      <t xml:space="preserve"> one drive eight</t>
    </r>
  </si>
  <si>
    <r>
      <t>F6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For Arc duct unit 15-28 model</t>
    </r>
  </si>
  <si>
    <r>
      <t>F6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For Arc duct unit 36 model</t>
    </r>
  </si>
  <si>
    <r>
      <t>F6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For Arc duct unit 45-56 model</t>
    </r>
  </si>
  <si>
    <r>
      <t>F6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For Arc duct unit 71 model</t>
    </r>
  </si>
  <si>
    <r>
      <t>F6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For Arc duct unit 80-112 model</t>
    </r>
  </si>
  <si>
    <r>
      <t>G3+F7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For MSP duct unit 22-45 model</t>
    </r>
  </si>
  <si>
    <r>
      <t>G3+F7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For MSP duct unit 56-71 model</t>
    </r>
  </si>
  <si>
    <r>
      <t>G3+F7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For MSP duct unit 80-90 model</t>
    </r>
  </si>
  <si>
    <r>
      <t>G3+F7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For MSP duct unit 112-160 model</t>
    </r>
  </si>
  <si>
    <r>
      <t>G3+H12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For MSP duct unit 22-45 model</t>
    </r>
  </si>
  <si>
    <r>
      <t>G3+H12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For MSP duct unit 56-71 model</t>
    </r>
  </si>
  <si>
    <r>
      <t>G3+H12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For MSP duct unit 80-90 model</t>
    </r>
  </si>
  <si>
    <r>
      <t>G3+H12 filter assembly (packed in carton)</t>
    </r>
    <r>
      <rPr>
        <sz val="10"/>
        <rFont val="微软雅黑"/>
        <family val="2"/>
        <charset val="134"/>
      </rPr>
      <t>，</t>
    </r>
    <r>
      <rPr>
        <sz val="10"/>
        <rFont val="Calibri"/>
        <family val="2"/>
      </rPr>
      <t>For MSP duct unit 112-160 model</t>
    </r>
  </si>
  <si>
    <r>
      <t>1.8kW</t>
    </r>
    <r>
      <rPr>
        <sz val="10"/>
        <rFont val="Times New Roman"/>
        <family val="1"/>
      </rPr>
      <t>≤</t>
    </r>
    <r>
      <rPr>
        <sz val="10"/>
        <rFont val="Calibri"/>
        <family val="2"/>
      </rPr>
      <t>A&lt;9kW</t>
    </r>
  </si>
  <si>
    <r>
      <t>9kW</t>
    </r>
    <r>
      <rPr>
        <sz val="10"/>
        <rFont val="Times New Roman"/>
        <family val="1"/>
      </rPr>
      <t>≤</t>
    </r>
    <r>
      <rPr>
        <sz val="10"/>
        <rFont val="Calibri"/>
        <family val="2"/>
      </rPr>
      <t>A</t>
    </r>
    <r>
      <rPr>
        <sz val="10"/>
        <rFont val="Times New Roman"/>
        <family val="1"/>
      </rPr>
      <t>≤</t>
    </r>
    <r>
      <rPr>
        <sz val="10"/>
        <rFont val="Calibri"/>
        <family val="2"/>
      </rPr>
      <t>20kW</t>
    </r>
  </si>
  <si>
    <r>
      <t>20kW&lt;A</t>
    </r>
    <r>
      <rPr>
        <sz val="10"/>
        <rFont val="Times New Roman"/>
        <family val="1"/>
      </rPr>
      <t>≤</t>
    </r>
    <r>
      <rPr>
        <sz val="10"/>
        <rFont val="Calibri"/>
        <family val="2"/>
      </rPr>
      <t>36kW</t>
    </r>
  </si>
  <si>
    <r>
      <t>36kW&lt;A</t>
    </r>
    <r>
      <rPr>
        <sz val="10"/>
        <rFont val="Times New Roman"/>
        <family val="1"/>
      </rPr>
      <t>≤</t>
    </r>
    <r>
      <rPr>
        <sz val="10"/>
        <rFont val="Calibri"/>
        <family val="2"/>
      </rPr>
      <t>56kW</t>
    </r>
  </si>
  <si>
    <r>
      <t>56kW&lt;A</t>
    </r>
    <r>
      <rPr>
        <sz val="10"/>
        <rFont val="宋体"/>
        <family val="3"/>
        <charset val="134"/>
      </rPr>
      <t>≤</t>
    </r>
    <r>
      <rPr>
        <sz val="10"/>
        <rFont val="Calibri"/>
        <family val="2"/>
      </rPr>
      <t>168kW</t>
    </r>
  </si>
  <si>
    <r>
      <t>MI2-</t>
    </r>
    <r>
      <rPr>
        <sz val="10"/>
        <color indexed="8"/>
        <rFont val="Calibri"/>
        <family val="2"/>
      </rPr>
      <t>24GDHN18(At)</t>
    </r>
  </si>
  <si>
    <r>
      <t>MI2-</t>
    </r>
    <r>
      <rPr>
        <sz val="10"/>
        <color indexed="8"/>
        <rFont val="Calibri"/>
        <family val="2"/>
      </rPr>
      <t>28GDHN18(At)</t>
    </r>
  </si>
  <si>
    <t>MI2-06Q1DHN18(At)</t>
    <phoneticPr fontId="60" type="noConversion"/>
  </si>
  <si>
    <t>MI2-07Q1DHN18(At)</t>
  </si>
  <si>
    <t>22013900000021</t>
  </si>
  <si>
    <t>MI2-09Q1DHN18(At)</t>
  </si>
  <si>
    <t>MI2-12Q1DHN18(At)</t>
  </si>
  <si>
    <t>22013900000023</t>
  </si>
  <si>
    <t>MI2-15Q1DHN18(At)</t>
  </si>
  <si>
    <t>MI2-18Q1DHN18(At)</t>
  </si>
  <si>
    <t>MI2-24Q1DHN18(At)</t>
  </si>
  <si>
    <t>22013900000022</t>
  </si>
  <si>
    <t>V8 Atom DL
Ceiling&amp;Floor + price with RM12F1</t>
  </si>
  <si>
    <t>MI2-12DLDHN18(At)</t>
  </si>
  <si>
    <t>MI2-15DLDHN18(At)</t>
  </si>
  <si>
    <t>MI2-18DLDHN18(At)</t>
  </si>
  <si>
    <t>MI2-24DLDHN18(At)</t>
  </si>
  <si>
    <t>MI2-28DLDHN18(At)</t>
  </si>
  <si>
    <t>MI2-32DLDHN18(At)</t>
  </si>
  <si>
    <t>MI2-40DLDHN18(At)</t>
  </si>
  <si>
    <t>MI2-48DLDHN18(At)</t>
  </si>
  <si>
    <t>22026012001474</t>
  </si>
  <si>
    <t>22026012001478</t>
  </si>
  <si>
    <t>22026012001475</t>
  </si>
  <si>
    <t>22026012001477</t>
  </si>
  <si>
    <t>22026012001480</t>
    <phoneticPr fontId="60" type="noConversion"/>
  </si>
  <si>
    <t>22026012001476</t>
  </si>
  <si>
    <t>22026012001479</t>
  </si>
  <si>
    <t>22026011001887</t>
    <phoneticPr fontId="60" type="noConversion"/>
  </si>
  <si>
    <t>22026011001878</t>
  </si>
  <si>
    <t>22026011001886</t>
  </si>
  <si>
    <t>22026011001879</t>
  </si>
  <si>
    <t>22026011001881</t>
  </si>
  <si>
    <t>22026011001885</t>
  </si>
  <si>
    <t>22026011001883</t>
  </si>
  <si>
    <t>22026011001882</t>
  </si>
  <si>
    <t>22026011001880</t>
  </si>
  <si>
    <t>22026011001888</t>
  </si>
  <si>
    <t>22026011001889</t>
  </si>
  <si>
    <t>22026011001890</t>
  </si>
  <si>
    <t>22026011001884</t>
  </si>
  <si>
    <t>MHL-68HDN1</t>
  </si>
  <si>
    <t>1.220-240V,1Ph,50/60Hz 2.standard with WDC3-86S controller</t>
  </si>
  <si>
    <t>MHL-76HDN1</t>
  </si>
  <si>
    <t>MHL-96HDN1</t>
  </si>
  <si>
    <t>MHL-120HDN1</t>
  </si>
  <si>
    <t>MHL-150HDN1</t>
  </si>
  <si>
    <t>MHL-192HDN1</t>
  </si>
  <si>
    <t>Middle static pressure duct</t>
  </si>
  <si>
    <t>MTL-24HDN1</t>
  </si>
  <si>
    <t>MTL-36HDN1</t>
  </si>
  <si>
    <t>MTL-40HDN1</t>
  </si>
  <si>
    <t xml:space="preserve">MTL-48HDN1 </t>
  </si>
  <si>
    <t>Universal outdoor units</t>
    <phoneticPr fontId="60" type="noConversion"/>
  </si>
  <si>
    <t>MOUL-68HD1N1-G</t>
  </si>
  <si>
    <t>380-415V 3N~50/60Hz</t>
    <phoneticPr fontId="60" type="noConversion"/>
  </si>
  <si>
    <t>MOUL-76HD1N1-G</t>
  </si>
  <si>
    <t>MOUL-96HD1N1-G</t>
  </si>
  <si>
    <t>MOUL-120HD1N1-G</t>
  </si>
  <si>
    <t>MOUL-150HD1N1-G</t>
  </si>
  <si>
    <t>MOUL-192HD1N1-G</t>
  </si>
  <si>
    <t>MOUL-250HD1N1-G</t>
  </si>
  <si>
    <t>Universal outdoor units
   CB certificate R410A</t>
    <phoneticPr fontId="60" type="noConversion"/>
  </si>
  <si>
    <t>Cooling only</t>
    <phoneticPr fontId="60" type="noConversion"/>
  </si>
  <si>
    <t>Universal 
outdoor units</t>
    <phoneticPr fontId="60" type="noConversion"/>
  </si>
  <si>
    <t>MOUL-76CD1N1-R</t>
  </si>
  <si>
    <t>MOUL-96CD1N1-R</t>
  </si>
  <si>
    <t>MOUL-68CD1N1-R</t>
  </si>
  <si>
    <t>Long-distance on/off function
Long-distance alarm function
X1X2, PQE, D1D2
Indoor temperature detection control
Including remote controller RM12F1</t>
  </si>
  <si>
    <t>Long-distance on/off function
Long-distance alarm function
X1X2, PQE, D1D2
Indoor temperature detection control
Including remote controller RM12F1
Build-in drain pump</t>
  </si>
  <si>
    <t>Cooling only Mini VRF, 220-240V ~ 50/60Hz
Customization number (EXV) - PZ2024102834128</t>
  </si>
  <si>
    <r>
      <rPr>
        <sz val="10"/>
        <rFont val="Calibri"/>
        <family val="3"/>
      </rPr>
      <t xml:space="preserve">CBO </t>
    </r>
    <r>
      <rPr>
        <sz val="10"/>
        <rFont val="Calibri"/>
        <family val="2"/>
      </rPr>
      <t>22027020003365</t>
    </r>
    <phoneticPr fontId="46" type="noConversion"/>
  </si>
  <si>
    <t>22026010000581</t>
    <phoneticPr fontId="46" type="noConversion"/>
  </si>
  <si>
    <t>CBO 22026012001394</t>
  </si>
  <si>
    <t>CBO 22026012001396</t>
  </si>
  <si>
    <t>CBO 22026012001397</t>
  </si>
  <si>
    <t>CBO 22026012001416</t>
  </si>
  <si>
    <t>CBO 22026012001415</t>
  </si>
  <si>
    <t>CBO 22026012001414</t>
  </si>
  <si>
    <t>CBO 22026012001417</t>
  </si>
  <si>
    <t>CBO 22026013000450</t>
  </si>
  <si>
    <t>CBO 22026013000455</t>
  </si>
  <si>
    <t>CBO 22026013000454</t>
  </si>
  <si>
    <t>CBO 22026013000462</t>
  </si>
  <si>
    <t>CBO 22026013000460</t>
  </si>
  <si>
    <t>CBO 22026013000457</t>
  </si>
  <si>
    <t>CBO 22026013000467</t>
  </si>
  <si>
    <t>CBO 22026013000469</t>
  </si>
  <si>
    <t>CBO 22026012001122</t>
  </si>
  <si>
    <t>CBO 22026012001130</t>
  </si>
  <si>
    <t>CBO 22026012001124</t>
  </si>
  <si>
    <t>CBO 22026012001115</t>
  </si>
  <si>
    <t>CBO 22026012001132</t>
  </si>
  <si>
    <t>CBO 22026012001129</t>
  </si>
  <si>
    <t>CBO 22026012001123</t>
  </si>
  <si>
    <t>CBO 22026012001128</t>
  </si>
  <si>
    <t>CBO 22026012001133</t>
  </si>
  <si>
    <t>CBO 22026012001121</t>
  </si>
  <si>
    <t>CBO 22026012001277</t>
  </si>
  <si>
    <t>CBO 22026012001275</t>
  </si>
  <si>
    <t xml:space="preserve">CBO 22026011001511 </t>
  </si>
  <si>
    <t>借22026011001641</t>
  </si>
  <si>
    <t>借22026011001665</t>
  </si>
  <si>
    <t>借22026011001698</t>
  </si>
  <si>
    <t>借22026011001699</t>
  </si>
  <si>
    <t>借22026011001707</t>
  </si>
  <si>
    <t>借22026011001679</t>
  </si>
  <si>
    <t>借22026011001706</t>
  </si>
  <si>
    <t>借22026011001705</t>
  </si>
  <si>
    <t>借22026011001681</t>
  </si>
  <si>
    <t>借22027020002077</t>
  </si>
  <si>
    <t>借22027020002080</t>
  </si>
  <si>
    <t>借22027020002050</t>
  </si>
  <si>
    <t>借22027020002051</t>
  </si>
  <si>
    <t>借22027020002053</t>
  </si>
  <si>
    <t>借22027020002054</t>
  </si>
  <si>
    <t>借22027020002569</t>
  </si>
  <si>
    <t>借22027020002574</t>
  </si>
  <si>
    <t>借22027020002570</t>
  </si>
  <si>
    <t>借22026011001838</t>
  </si>
  <si>
    <t>借22026011001839</t>
  </si>
  <si>
    <t>借22026011001840</t>
  </si>
  <si>
    <t>借22026011001678</t>
  </si>
  <si>
    <t>借22026011001703</t>
  </si>
  <si>
    <t>借22026011001680</t>
  </si>
  <si>
    <t>借22026011001518</t>
  </si>
  <si>
    <t>借22026011001500</t>
  </si>
  <si>
    <t>借22026011001511</t>
  </si>
  <si>
    <t>借22027020002045</t>
  </si>
  <si>
    <t>借22027020002046</t>
  </si>
  <si>
    <t>借22027020002048</t>
  </si>
  <si>
    <t>借22027020002049</t>
  </si>
  <si>
    <t>借22027020002589</t>
  </si>
  <si>
    <t>借22027020002585</t>
  </si>
  <si>
    <t>借22027020002590</t>
  </si>
  <si>
    <t>借22027020001945</t>
  </si>
  <si>
    <t>借22027020001946</t>
  </si>
  <si>
    <t>借22027020001925</t>
  </si>
  <si>
    <t>借22026214000069</t>
  </si>
  <si>
    <t>借22026214000077</t>
  </si>
  <si>
    <t>借22026214000068</t>
  </si>
  <si>
    <t>借22026214000075</t>
  </si>
  <si>
    <t>借22026214000088</t>
  </si>
  <si>
    <t>借22026214000074</t>
  </si>
  <si>
    <t>借22026214000073</t>
  </si>
  <si>
    <t>借22026214000078</t>
  </si>
  <si>
    <t>借22026214000076</t>
  </si>
  <si>
    <t>借22026214000070</t>
  </si>
  <si>
    <t>借22026214000087</t>
  </si>
  <si>
    <t>借22026214000067</t>
  </si>
  <si>
    <t>借22026215000086</t>
  </si>
  <si>
    <t>借22026215000087</t>
  </si>
  <si>
    <t>借22026215000088</t>
  </si>
  <si>
    <t>借22026215000089</t>
  </si>
  <si>
    <t>借22026215000090</t>
  </si>
  <si>
    <t>借22026215000091</t>
  </si>
  <si>
    <t>借用22025314000593</t>
  </si>
  <si>
    <t>借用22025314000594</t>
  </si>
  <si>
    <t>借用22025314000595</t>
  </si>
  <si>
    <t>借22025314000671
方案号L2023071466341</t>
  </si>
  <si>
    <t>借22025314000671
方案号L2022122744465</t>
  </si>
  <si>
    <t>借22025314000691
方案号L2022122744465</t>
  </si>
  <si>
    <t>借22025314000671</t>
  </si>
  <si>
    <t>借22025314000691</t>
  </si>
  <si>
    <t>借22025314000615</t>
  </si>
  <si>
    <t>借22025314000637</t>
  </si>
  <si>
    <t>借用22025314001016</t>
  </si>
  <si>
    <t>借用22025314001017</t>
  </si>
  <si>
    <t>借用22025314001011</t>
  </si>
  <si>
    <t>借用22025314001021</t>
  </si>
  <si>
    <t>借用22025314001020</t>
  </si>
  <si>
    <t>借用22025314001013</t>
  </si>
  <si>
    <t>借用22025314001014</t>
  </si>
  <si>
    <t>借用22010600000251</t>
  </si>
  <si>
    <t>借用22010600000252</t>
  </si>
  <si>
    <t>借用22010600000232</t>
  </si>
  <si>
    <t>MI2-15GDHN18(At)</t>
    <phoneticPr fontId="46" type="noConversion"/>
  </si>
  <si>
    <t>1.Chassis electrical heater
2.Automatic refrigerant charging
3.Bluetooth module (with black box)
4.single outdoor unit  ratio 200%
5. V8 system can connect 30% indoor units
6. Auto dust-clean function
7. Humidity control (in IDU)</t>
    <phoneticPr fontId="46" type="noConversion"/>
  </si>
  <si>
    <t>Easyfit</t>
    <phoneticPr fontId="46" type="noConversion"/>
  </si>
  <si>
    <t>1.Auto dust-clean function
2.Automatic refrigerant charging
3.Bluetooth module (with black box)
4.Wide combination ratio 30%-200%</t>
    <phoneticPr fontId="46" type="noConversion"/>
  </si>
  <si>
    <t>Heat pump, inverter type ODU</t>
    <phoneticPr fontId="46" type="noConversion"/>
  </si>
  <si>
    <t>Compact Four-way cassette</t>
    <phoneticPr fontId="46" type="noConversion"/>
  </si>
  <si>
    <t>Wall-mounted unit</t>
    <phoneticPr fontId="46" type="noConversion"/>
  </si>
  <si>
    <t>1. 3-row coil, 70~100 pa;
2. Brand new desgin;
3. Standard with air return plenum and fitler, air intake from rear
4. Two pipe fancoil; 
5. Drain pan for heat exchanger standard; 
6. Drain pan for for 3way valve is option</t>
    <phoneticPr fontId="46" type="noConversion"/>
  </si>
  <si>
    <t>MKT3H-2200G100</t>
    <phoneticPr fontId="46" type="noConversion"/>
  </si>
  <si>
    <t>Air cooled modular chiller</t>
    <phoneticPr fontId="46" type="noConversion"/>
  </si>
  <si>
    <t>One-Way Cassette</t>
    <phoneticPr fontId="46" type="noConversion"/>
  </si>
  <si>
    <t>1.Indoor temperature
detection control
3. Independent power supply
4. Long-distance on/off function
5. Long-distance alarm function
6. X1X2, PQE, D1D2, M1M2
7.Build-in drain pump 
8. Water level switch
9. Including remote controller RM12F1
10. full package box</t>
    <phoneticPr fontId="46" type="noConversion"/>
  </si>
  <si>
    <t>Panel for one way cassette 1.8-3.6kw</t>
    <phoneticPr fontId="46" type="noConversion"/>
  </si>
  <si>
    <t>Fresh Air Processing Unit</t>
    <phoneticPr fontId="46" type="noConversion"/>
  </si>
  <si>
    <t>R410a V8 Mini</t>
    <phoneticPr fontId="46" type="noConversion"/>
  </si>
  <si>
    <t>Long-distance on/off function
Long-distance alarm function
X1X2, PQE, D1D2
Indoor temperature detection control
Including remote controller WDC3-86S
Build-in drain pump</t>
    <phoneticPr fontId="46" type="noConversion"/>
  </si>
  <si>
    <t>V8 Atom 
Q1
One-way cassette(super slim) +price with RM12F1</t>
    <phoneticPr fontId="46" type="noConversion"/>
  </si>
  <si>
    <t>Long-distance on/off function
Long-distance alarm function
X1X2, PQE, D1D2
Indoor temperature detection control
Including remote controller RM12F1
Build-in drain pump</t>
    <phoneticPr fontId="46" type="noConversion"/>
  </si>
  <si>
    <t>ATOM V8 IDU Wall-mounted</t>
    <phoneticPr fontId="46" type="noConversion"/>
  </si>
  <si>
    <t>Long-distance on/off function
Long-distance alarm function
X1X2, PQE, D1D2
Indoor temperature detection control
Including remote controller RM12F1
Panel Z-HS-C1</t>
    <phoneticPr fontId="46" type="noConversion"/>
  </si>
  <si>
    <t>MIH71GHN18</t>
    <phoneticPr fontId="46" type="noConversion"/>
  </si>
  <si>
    <t>RM23A</t>
    <phoneticPr fontId="46" type="noConversion"/>
  </si>
  <si>
    <t>17317000012384</t>
    <phoneticPr fontId="46" type="noConversion"/>
  </si>
  <si>
    <t>17311500A07168</t>
    <phoneticPr fontId="46" type="noConversion"/>
  </si>
  <si>
    <t>Midea Model</t>
    <phoneticPr fontId="46" type="noConversion"/>
  </si>
  <si>
    <t>MDV-V12WDHN1(AtB)</t>
  </si>
  <si>
    <t>MDV-V18WDHN1(AtB)</t>
  </si>
  <si>
    <t xml:space="preserve">MDV-V21WDHN1(AtB) </t>
  </si>
  <si>
    <t>MDV-V28WDHN1(AtB)</t>
  </si>
  <si>
    <t>MDV-V36WDHN1A(AtB)</t>
  </si>
  <si>
    <t>MDV-V42WDHN1A(AtB)</t>
  </si>
  <si>
    <t>Midea model</t>
    <phoneticPr fontId="46" type="noConversion"/>
  </si>
  <si>
    <t>/</t>
    <phoneticPr fontId="46" type="noConversion"/>
  </si>
  <si>
    <t>MIDEA MODE</t>
    <phoneticPr fontId="46" type="noConversion"/>
  </si>
  <si>
    <t>Duct</t>
    <phoneticPr fontId="46" type="noConversion"/>
  </si>
  <si>
    <t>MKD-V300FA</t>
  </si>
  <si>
    <t>MKD-V400FA</t>
  </si>
  <si>
    <t>MKD-V500FA</t>
  </si>
  <si>
    <t>MKA-V600FA</t>
  </si>
  <si>
    <t>MKA-V750FA</t>
  </si>
  <si>
    <t>MKA-V850FA</t>
  </si>
  <si>
    <t>MKA-V950FA</t>
  </si>
  <si>
    <t>MKA-V1200FA</t>
  </si>
  <si>
    <t>MKA-V1500FA</t>
  </si>
  <si>
    <t>借22026215000086定制
可参考L2020011800002</t>
  </si>
  <si>
    <t>借22026215000087定制
可参考L2020011800002</t>
  </si>
  <si>
    <t>借22026215000088定制
可参考L2020011800002</t>
  </si>
  <si>
    <t>借22026215000089定制
可参考L2020011800002</t>
  </si>
  <si>
    <t>借22026215000090定制
可参考L2020011800002</t>
  </si>
  <si>
    <t>借22026215000091定制
可参考L2020011800002</t>
  </si>
  <si>
    <t xml:space="preserve">Midea model </t>
    <phoneticPr fontId="46" type="noConversion"/>
  </si>
  <si>
    <t>Midea Model</t>
    <phoneticPr fontId="46" type="noConversion"/>
  </si>
  <si>
    <t>Midea model</t>
    <phoneticPr fontId="46" type="noConversion"/>
  </si>
  <si>
    <t>T-MBQ4-03F</t>
  </si>
  <si>
    <t>T-MBQ4-01F</t>
  </si>
  <si>
    <t>MKH1-V150F-R4</t>
  </si>
  <si>
    <t>MKH1-V250F-R4</t>
  </si>
  <si>
    <t>MKH1-V350F-R4</t>
  </si>
  <si>
    <t>MKH1-V500F-R4</t>
  </si>
  <si>
    <t>MKH1-V700F-R4</t>
  </si>
  <si>
    <t>MKH1-V800F-R4</t>
  </si>
  <si>
    <t>MKH3-V150F-R4</t>
  </si>
  <si>
    <t>MKH3-V250F-R4</t>
  </si>
  <si>
    <t>MKH3-V350F-R4</t>
  </si>
  <si>
    <t>MKH3-V500F-R4</t>
  </si>
  <si>
    <t>MKH3-V700F-R4</t>
  </si>
  <si>
    <t>MKH3-V800F-R4</t>
  </si>
  <si>
    <t>380-415V 3N~50/60Hz</t>
  </si>
  <si>
    <t>1. Independent power supply
2. Horizontal swing 
3. Drain Pump + Water level switch
4. Long-distance on/off function
5. Long-distance alarm function
6. X1X2, PQE, D1D2, M1M2
7. Panel Midea (black appearance)
8. Humidity control
9. Indoor temperature
detection control
10. Including remote controller RM12F1
11. full package box</t>
  </si>
  <si>
    <t>1. Independent power supply
2. Horizontal swing 
3. Drain Pump + Water level switch
4. Long-distance on/off function
5. Long-distance alarm function
6. X1X2, PQE, D1D2, M1M2
7. Panel Midea
8. Humidity control
9. Indoor temperature detection control
10. Including remote controller RM12F1
11. full package box</t>
  </si>
  <si>
    <r>
      <t xml:space="preserve">1.Chassis electrical heater
2.Bluetooth module
3.combination ratio 50%-130% (with V6 IDU)
</t>
    </r>
    <r>
      <rPr>
        <sz val="10"/>
        <rFont val="Calibri"/>
        <family val="2"/>
      </rPr>
      <t>4. combination ratio 50% -160% (with V8 IDU)</t>
    </r>
  </si>
  <si>
    <r>
      <t xml:space="preserve">1.Indoor temperature
detection control
2.Humidity control
</t>
    </r>
    <r>
      <rPr>
        <sz val="10"/>
        <rFont val="Calibri"/>
        <family val="2"/>
      </rPr>
      <t>3. Independent power supply
4. Long-distance on/off function
5. Long-distance alarm function
6. X1X2, PQE, D1D2, M1M2
7. Build-in drain pump 
8. Water level switch
9. Including remote controller RM12F1
10. Full package box</t>
    </r>
  </si>
  <si>
    <r>
      <t>Panel for V8 DC Q4-C</t>
    </r>
    <r>
      <rPr>
        <sz val="10"/>
        <rFont val="宋体"/>
        <family val="3"/>
        <charset val="134"/>
      </rPr>
      <t>，</t>
    </r>
    <r>
      <rPr>
        <sz val="10"/>
        <rFont val="Calibri"/>
        <family val="2"/>
      </rPr>
      <t>without Human Detect Sensor</t>
    </r>
    <r>
      <rPr>
        <sz val="10"/>
        <rFont val="宋体"/>
        <family val="3"/>
        <charset val="134"/>
      </rPr>
      <t>，</t>
    </r>
    <r>
      <rPr>
        <sz val="10"/>
        <rFont val="Calibri"/>
        <family val="2"/>
      </rPr>
      <t>with Individual louver control</t>
    </r>
  </si>
  <si>
    <r>
      <t>Panel for V8 DC Q4-C</t>
    </r>
    <r>
      <rPr>
        <sz val="10"/>
        <rFont val="Times New Roman"/>
        <family val="1"/>
      </rPr>
      <t>，</t>
    </r>
    <r>
      <rPr>
        <sz val="10"/>
        <rFont val="Calibri"/>
        <family val="2"/>
      </rPr>
      <t>with Human Detect Sensor</t>
    </r>
    <r>
      <rPr>
        <sz val="10"/>
        <rFont val="Times New Roman"/>
        <family val="1"/>
      </rPr>
      <t>，</t>
    </r>
    <r>
      <rPr>
        <sz val="10"/>
        <rFont val="Calibri"/>
        <family val="2"/>
      </rPr>
      <t>with Individual louver control</t>
    </r>
  </si>
  <si>
    <r>
      <t xml:space="preserve">1.Indoor temperature
detection control
2.Humidity control
</t>
    </r>
    <r>
      <rPr>
        <sz val="10"/>
        <rFont val="Calibri"/>
        <family val="2"/>
      </rPr>
      <t>3. Independent power supply
4. Long-distance on/off function
5. Long-distance alarm function
6. X1X2, PQE, D1D2, M1M2
7.Build-in drain pump 
8. Water level switch
9. Including remote controller RM12F1
10. full package box</t>
    </r>
  </si>
  <si>
    <r>
      <t>Panel for V8 DC Q4 2.8~14KW</t>
    </r>
    <r>
      <rPr>
        <sz val="10"/>
        <rFont val="宋体"/>
        <family val="3"/>
        <charset val="134"/>
      </rPr>
      <t>，</t>
    </r>
    <r>
      <rPr>
        <sz val="10"/>
        <rFont val="Calibri"/>
        <family val="2"/>
      </rPr>
      <t>without Human Detect Sensor</t>
    </r>
    <r>
      <rPr>
        <sz val="10"/>
        <rFont val="宋体"/>
        <family val="3"/>
        <charset val="134"/>
      </rPr>
      <t>，</t>
    </r>
    <r>
      <rPr>
        <sz val="10"/>
        <rFont val="Calibri"/>
        <family val="2"/>
      </rPr>
      <t>with Individual louver control</t>
    </r>
  </si>
  <si>
    <r>
      <t>Panel for V8 DC Q4 16~18KW</t>
    </r>
    <r>
      <rPr>
        <sz val="10"/>
        <rFont val="宋体"/>
        <family val="3"/>
        <charset val="134"/>
      </rPr>
      <t>，</t>
    </r>
    <r>
      <rPr>
        <sz val="10"/>
        <rFont val="Calibri"/>
        <family val="2"/>
      </rPr>
      <t>without Human Detect Sensor</t>
    </r>
    <r>
      <rPr>
        <sz val="10"/>
        <rFont val="宋体"/>
        <family val="3"/>
        <charset val="134"/>
      </rPr>
      <t>，</t>
    </r>
    <r>
      <rPr>
        <sz val="10"/>
        <rFont val="Calibri"/>
        <family val="2"/>
      </rPr>
      <t>with Individual louver control</t>
    </r>
  </si>
  <si>
    <r>
      <t xml:space="preserve">1.Indoor temperature
detection control
2.Humidity control
</t>
    </r>
    <r>
      <rPr>
        <sz val="10"/>
        <rFont val="Calibri"/>
        <family val="2"/>
      </rPr>
      <t>3.Independent power supply
4. Long-distance on/off function
5. Long-distance alarm function
6. X1X2, PQE, D1D2, M1M2
7. High-lift drain pump
8. Water level switch
9. Including wired controller WDC3-86S
10. full package box</t>
    </r>
  </si>
  <si>
    <r>
      <t xml:space="preserve">1.Indoor temperature
detection control
2.Humidity control
</t>
    </r>
    <r>
      <rPr>
        <sz val="10"/>
        <rFont val="Calibri"/>
        <family val="2"/>
      </rPr>
      <t>3. Independent power supply
4. Long-distance on/off function
5. Long-distance alarm function
6. X1X2, PQE, D1D2, M1M2
7. High-lift drain pump
8. Water level switch
9. Including wired controller WDC3-86S
10. full package box</t>
    </r>
  </si>
  <si>
    <r>
      <t xml:space="preserve">1.Indoor temperature
detection control
3. Independent power supply
4. Long-distance on/off function
5. Long-distance alarm function
6. X1X2, PQE, D1D2, M1M2
7. High-lift drain pump
8. Water level switch
</t>
    </r>
    <r>
      <rPr>
        <sz val="10"/>
        <rFont val="Calibri"/>
        <family val="2"/>
      </rPr>
      <t>9. Including wired controller WDC3-86S
10. full package box</t>
    </r>
  </si>
  <si>
    <r>
      <t xml:space="preserve">1.Indoor temperature
detection control
3. Independent power supply
4. Long-distance on/off function
5. Long-distance alarm function
6. X1X2, PQE, D1D2, M1M2
7.Build-in drain pump 
8. Water level switch
</t>
    </r>
    <r>
      <rPr>
        <sz val="10"/>
        <rFont val="Calibri"/>
        <family val="2"/>
      </rPr>
      <t>9. Including remote controller RM12F1
10. full package box</t>
    </r>
  </si>
  <si>
    <t>black</t>
  </si>
  <si>
    <t>whita</t>
  </si>
  <si>
    <t>IMMPRO II for V8 system + MK2-B3311</t>
  </si>
  <si>
    <t>MIH15GHN18-B</t>
  </si>
  <si>
    <t>MIH22GHN18-B</t>
  </si>
  <si>
    <t>MIH28GHN18-B</t>
  </si>
  <si>
    <t>MIH36GHN18-B</t>
  </si>
  <si>
    <t>MIH45GHN18-B</t>
  </si>
  <si>
    <t>MIH56GHN18-B</t>
  </si>
  <si>
    <t>MIH71GHN18-B</t>
  </si>
  <si>
    <t>MIH80GHN18-B</t>
  </si>
  <si>
    <t>MDV-V48WDHN1(AtB)</t>
  </si>
  <si>
    <t>MDV-V56WDHN1(AtB)</t>
  </si>
  <si>
    <t>MDV-V60WDHN1(AtB)</t>
  </si>
  <si>
    <t>MDV-V68WDHN1(AtB)</t>
  </si>
  <si>
    <r>
      <t xml:space="preserve">V8 Atom </t>
    </r>
    <r>
      <rPr>
        <sz val="10"/>
        <color theme="1"/>
        <rFont val="宋体"/>
        <family val="3"/>
        <charset val="134"/>
      </rPr>
      <t>小冷霸</t>
    </r>
    <r>
      <rPr>
        <sz val="10"/>
        <color theme="1"/>
        <rFont val="Calibri"/>
        <family val="2"/>
      </rPr>
      <t xml:space="preserve">
Q4C
Compact Four-way cassette</t>
    </r>
  </si>
  <si>
    <r>
      <t xml:space="preserve">V8 Atom </t>
    </r>
    <r>
      <rPr>
        <sz val="10"/>
        <color theme="1"/>
        <rFont val="宋体"/>
        <family val="3"/>
        <charset val="134"/>
      </rPr>
      <t>大冷霸</t>
    </r>
    <r>
      <rPr>
        <sz val="10"/>
        <color theme="1"/>
        <rFont val="Calibri"/>
        <family val="2"/>
      </rPr>
      <t xml:space="preserve">
Q4
Four-way cassette</t>
    </r>
  </si>
  <si>
    <r>
      <t xml:space="preserve">V8 Atom </t>
    </r>
    <r>
      <rPr>
        <sz val="10"/>
        <color theme="1"/>
        <rFont val="微软雅黑"/>
        <family val="2"/>
        <charset val="134"/>
      </rPr>
      <t xml:space="preserve">风管机
</t>
    </r>
    <r>
      <rPr>
        <sz val="10"/>
        <color theme="1"/>
        <rFont val="Calibri"/>
        <family val="2"/>
      </rPr>
      <t>T3/T2</t>
    </r>
    <r>
      <rPr>
        <sz val="10"/>
        <color indexed="8"/>
        <rFont val="Calibri"/>
        <family val="2"/>
      </rPr>
      <t xml:space="preserve">
Duct</t>
    </r>
  </si>
  <si>
    <t>MKT3-200G12-CR</t>
  </si>
  <si>
    <t>MKT3-300G12-CR</t>
  </si>
  <si>
    <t>MKT3-400G12-CR</t>
  </si>
  <si>
    <t>MKT3-500G12-CR</t>
  </si>
  <si>
    <t>MKT3-600G12-CR</t>
  </si>
  <si>
    <t>MKT3-700G12-CR</t>
  </si>
  <si>
    <t>MKT3-800G12-CR</t>
  </si>
  <si>
    <t>MKT3-1000G12-CR</t>
  </si>
  <si>
    <t>MKT3-1200G12-CR</t>
  </si>
  <si>
    <t>MKT3-1400G12-CR</t>
  </si>
  <si>
    <t>MKT3-200G30-CR</t>
  </si>
  <si>
    <t>MKT3-300G30-CR</t>
  </si>
  <si>
    <t>MKT3-400G30-CR</t>
  </si>
  <si>
    <t>MKT3-500G30-CR</t>
  </si>
  <si>
    <t>MKT3-600G30-CR</t>
  </si>
  <si>
    <t>MKT3-700G30-CR</t>
  </si>
  <si>
    <t>MKT3-800G30-CR</t>
  </si>
  <si>
    <t>MKT3-1000G30-CR</t>
  </si>
  <si>
    <t>MKT3-1200G30-CR</t>
  </si>
  <si>
    <t>MKT3-1400G30-CR</t>
  </si>
  <si>
    <t>MKT3-200G50-CR</t>
  </si>
  <si>
    <t>MKT3-300G50-CR</t>
  </si>
  <si>
    <t>MKT3-400G50-CR</t>
  </si>
  <si>
    <t>MKT3-500G50-CR</t>
  </si>
  <si>
    <t>MKT3-600G50-CR</t>
  </si>
  <si>
    <t>MKT3-700G50-CR</t>
  </si>
  <si>
    <t>MKT3-800G50-CR</t>
  </si>
  <si>
    <t>MKT3-1000G50-CR</t>
  </si>
  <si>
    <t>MKT3-1200G50-CR</t>
  </si>
  <si>
    <t>MKT3-1400G50-CR</t>
  </si>
  <si>
    <t>MKT4-200G30-CR</t>
  </si>
  <si>
    <t>MKT4-300G30-CR</t>
  </si>
  <si>
    <t>MKT4-400G30-CR</t>
  </si>
  <si>
    <t>MKT4-500G30-CR</t>
  </si>
  <si>
    <t>MKT4-600G30-CR</t>
  </si>
  <si>
    <t>MKT4-700G30-CR</t>
  </si>
  <si>
    <t>MKT4-800G30-CR</t>
  </si>
  <si>
    <t>MKT4-1000G30-CR</t>
  </si>
  <si>
    <t>MKT4-1200G30-CR</t>
  </si>
  <si>
    <t>MKT4-1400G30-CR</t>
  </si>
  <si>
    <t>MKT4-200G50-CR</t>
  </si>
  <si>
    <t>MKT4-300G50-CR</t>
  </si>
  <si>
    <t>MKT4-400G50-CR</t>
  </si>
  <si>
    <t>MKT4-500G50-CR</t>
  </si>
  <si>
    <t>MKT4-600G50-CR</t>
  </si>
  <si>
    <t>MKT4-700G50-CR</t>
  </si>
  <si>
    <t>MKT4-800G50-CR</t>
  </si>
  <si>
    <t>MKT4-1000G50-CR</t>
  </si>
  <si>
    <t>MKT4-1200G50-CR</t>
  </si>
  <si>
    <t>MKT4-1400G50-CR</t>
  </si>
  <si>
    <t>MKT4-200FG30-CR</t>
  </si>
  <si>
    <t>MKT4-300FG30-CR</t>
  </si>
  <si>
    <t>MKT4-400FG30-CR</t>
  </si>
  <si>
    <t>MKT4-500FG30-CR</t>
  </si>
  <si>
    <t>MKT4-600FG30-CR</t>
  </si>
  <si>
    <t>MKT4-700FG30-CR</t>
  </si>
  <si>
    <t>MKT4-800FG30-CR</t>
  </si>
  <si>
    <t>MKT4-1000FG30-CR</t>
  </si>
  <si>
    <t>MKT4-1200FG30-CR</t>
  </si>
  <si>
    <t>MKT4-1400FG30-CR</t>
  </si>
  <si>
    <t>MKT4-200FG50-CR</t>
  </si>
  <si>
    <t>MKT4-300FG50-CR</t>
  </si>
  <si>
    <t>MKT4-400FG50-CR</t>
  </si>
  <si>
    <t>MKT4-500FG50-CR</t>
  </si>
  <si>
    <t>MKT4-600FG50-CR</t>
  </si>
  <si>
    <t>MKT4-700FG50-CR</t>
  </si>
  <si>
    <t>MKT4-800FG50-CR</t>
  </si>
  <si>
    <t>MKT4-1000FG50-CR</t>
  </si>
  <si>
    <t>MKT4-1200FG50-CR</t>
  </si>
  <si>
    <t>MKT4-1400FG50-CR</t>
  </si>
  <si>
    <t>MKH2-150-R3 (A)</t>
  </si>
  <si>
    <t>MKH2-250-R3 (A)</t>
  </si>
  <si>
    <t>MKH2-350-R3 (A)</t>
  </si>
  <si>
    <t>MKH2-500-R3 (A)</t>
  </si>
  <si>
    <t>MKH2-800-R3 (A)</t>
  </si>
  <si>
    <t>MKH2-700-R3 (A)</t>
  </si>
  <si>
    <t>MKH2-150-R4 (A)</t>
  </si>
  <si>
    <t>MKH2-250-R4 (A)</t>
  </si>
  <si>
    <t>MKH2-350-R4 (A)</t>
  </si>
  <si>
    <t>MKH2-500-R4 (A)</t>
  </si>
  <si>
    <t>MKH2-700-R4 (A)</t>
  </si>
  <si>
    <t>MKH2-800-R4 (A)</t>
  </si>
  <si>
    <t>Right connection</t>
  </si>
  <si>
    <t xml:space="preserve">MKT4-V200FG30-CR </t>
  </si>
  <si>
    <t xml:space="preserve">MKT4-V300FG30-CR </t>
  </si>
  <si>
    <t xml:space="preserve">MKT4-V400FG30-CR </t>
  </si>
  <si>
    <t xml:space="preserve">MKT4-V500FG30-CR </t>
  </si>
  <si>
    <t xml:space="preserve">MKT4-V600FG30-CR </t>
  </si>
  <si>
    <t xml:space="preserve">MKT4-V700FG30-CR </t>
  </si>
  <si>
    <t xml:space="preserve">MKT4-V800FG30-CR </t>
  </si>
  <si>
    <t xml:space="preserve">MKT4-V1000FG30-CR </t>
  </si>
  <si>
    <t xml:space="preserve">MKT4-V1200FG30-CR </t>
  </si>
  <si>
    <t xml:space="preserve">MKT4-V1400FG30-CR </t>
  </si>
  <si>
    <t>MKT3-V200G12-CR</t>
  </si>
  <si>
    <t>MKT3-V300G12-CR</t>
  </si>
  <si>
    <t>MKT3-V400G12-CR</t>
  </si>
  <si>
    <t>MKT3-V500G12-CR</t>
  </si>
  <si>
    <t>MKT3-V600G12-CR</t>
  </si>
  <si>
    <t>MKT3-V700G12-CR</t>
  </si>
  <si>
    <t>MKT3-V800G12-CR</t>
  </si>
  <si>
    <t>MKT3-V1000G12-CR</t>
  </si>
  <si>
    <t>MKT3-V1200G12-CR</t>
  </si>
  <si>
    <t>MKT3-V1400G12-CR</t>
  </si>
  <si>
    <t>1. Compact Four way cassette type   
2. Two pipe fancoil; 
3.Build-in drain pump with 500mm head
4.RM 12 standard
5. Customized XYE and PQE port to connected to central controller and ModBus gateway</t>
  </si>
  <si>
    <t>1. Common Four way cassette type
2. Two pipe fancoil; 
4. Drain pan
5.Build-in drain pump with 750mm head
6.RM 12 standard
7. Customized XYE and PQE port to connected to central controller and ModBus gateway</t>
  </si>
  <si>
    <t>1. one-way cassette
2.Brand new design with ultrathin frame;  
3. Drain pan
4.Build-in drain pump with 750mm head
5.RM 12 standard
6. Customized XYE and PQE port to connected to central controller and ModBus gateway</t>
  </si>
  <si>
    <t>1. new panel
2. Integral 3-way valve
3. Two pipe fancoil
4. RM 12 standard
5. Customized XYE and PQE port to connected to central controller and ModBus gateway</t>
  </si>
  <si>
    <t>1. DC fan motor
2. 7 fan speed control
3. 200mm thickness
4. Flexible installation; 
5. Build-in drain pan for heat exchanger
6. Customized XYE and PQE port to connected to central controller and ModBus gateway</t>
  </si>
  <si>
    <t>1. DC fan motor
2. 7 fan speed control
3. 200mm thickness
4. Flexible installation 
5. Build-in drain pan for heat exchanger
6. Customized XYE and PQE port to connected to central controller and ModBus gateway</t>
  </si>
  <si>
    <t>1. Compact Four way cassette type   
2. Four pipe fancoil; 
3.Build-in drain pump with 500mm head
4.RM 12 standard
5. Customized XYE and PQE port to connected to central controller and ModBus gateway</t>
  </si>
  <si>
    <t>1. Common Four way cassette type
2. Four pipe fancoil; 
4. Drain pan
5.Build-in drain pump with 750mm head
6.RM 12 standard
7. Customized XYE and PQE port to connected to central controller and ModBus gateway</t>
  </si>
  <si>
    <t>1. DC fan motor
2. 7 fan speed control
3. 200mm thickness
4. Flexible installation                  
5.Four pipe fancoil; 
5. Build-in drain pan for heat exchanger
6. Customized XYE and PQE port to connected to central controller and ModBus gateway</t>
  </si>
  <si>
    <t>1. DC fan motor
2. 7 fan speed control
3. 200mm thickness
4. Flexible installation                 
5.Four pipe fancoil; 
5. Build-in drain pan for heat exchanger
6. Customized XYE and PQE port to connected to central controller and ModBus gateway</t>
  </si>
  <si>
    <t>1. Remote on/off (CN55)
2. Drain pump with sensor (CN190+CN5)   not available  
3. Connecting to gateways (PQE, XYE,CN99)    
4. Drain pan   standard
RIGHT CONNETCTION</t>
  </si>
  <si>
    <r>
      <t xml:space="preserve">•	WFS-1001-H
•	Remote controller KJRM-120D/BMK-E </t>
    </r>
    <r>
      <rPr>
        <b/>
        <sz val="10"/>
        <rFont val="Calibri"/>
        <family val="2"/>
      </rPr>
      <t>Modbus</t>
    </r>
    <r>
      <rPr>
        <sz val="10"/>
        <rFont val="Calibri"/>
        <family val="2"/>
      </rPr>
      <t xml:space="preserve">
•	XYE (Modbus protocol)
•	Shell&amp;tube evaporator
•	EXV
•	PQE
•	Scroll type
•	Sequential phase relay
•	Default water temperature 7C/12C
•	Remote On/Off
•	Remote heating/cooling function</t>
    </r>
  </si>
  <si>
    <r>
      <t xml:space="preserve">Scroll type; R410a, LAK
•	WFS-1001-H
•	Remote controller KJRM-120D/BMK-E </t>
    </r>
    <r>
      <rPr>
        <b/>
        <sz val="10"/>
        <rFont val="Calibri"/>
        <family val="2"/>
      </rPr>
      <t>Modbus</t>
    </r>
    <r>
      <rPr>
        <sz val="10"/>
        <rFont val="Calibri"/>
        <family val="2"/>
      </rPr>
      <t xml:space="preserve">
•	XYE (Modbus protocol)
•	Shell&amp;tube evaporator
•	EXV
•	PQE
•	Scroll type
•	Sequential phase relay
•	Default water temperature 7C/12C
•	Remote On/Off
•	Remote heating/cooling function</t>
    </r>
  </si>
  <si>
    <r>
      <t xml:space="preserve">1. Shell-tube type T1 application 
2. R410A
</t>
    </r>
    <r>
      <rPr>
        <b/>
        <sz val="10"/>
        <rFont val="Calibri"/>
        <family val="2"/>
      </rPr>
      <t>3. Remote controller KJRM-120D/BMK-E Modbus</t>
    </r>
  </si>
  <si>
    <t>Shell-tube type T3 application
Remote controller KJRM-120D/BMK-E Modbus</t>
  </si>
  <si>
    <t>Split Module</t>
  </si>
  <si>
    <t>Split  Module</t>
  </si>
  <si>
    <r>
      <t xml:space="preserve">380~415V-3PH
50(60)Hz
</t>
    </r>
    <r>
      <rPr>
        <u/>
        <sz val="10"/>
        <rFont val="Calibri"/>
        <family val="2"/>
      </rPr>
      <t>Series with automatic refrigerant charging function</t>
    </r>
    <r>
      <rPr>
        <sz val="10"/>
        <rFont val="Calibri"/>
        <family val="2"/>
      </rPr>
      <t xml:space="preserve">
Output limitation control;
Full DC inverter EVI compressor;
Night silent modes+ silent modes +super  silent modes;
EMS (Energy Management System);
Wrong connection protection;
Alarm output;
Maximum ESP 80 Pa;
Black Box;
Mr. Doctor;
Auto dust-clean function;
Hot water supply;</t>
    </r>
  </si>
  <si>
    <r>
      <t>V6-i</t>
    </r>
    <r>
      <rPr>
        <sz val="10"/>
        <rFont val="宋体"/>
        <family val="3"/>
        <charset val="134"/>
      </rPr>
      <t>侧出风外机</t>
    </r>
    <r>
      <rPr>
        <sz val="10"/>
        <rFont val="Calibri"/>
        <family val="2"/>
      </rPr>
      <t xml:space="preserve">   VRF V6-i ODU</t>
    </r>
  </si>
  <si>
    <r>
      <t xml:space="preserve">V4+ outdoor distributor </t>
    </r>
    <r>
      <rPr>
        <sz val="10"/>
        <rFont val="Calibri"/>
        <family val="2"/>
      </rPr>
      <t>with insulation</t>
    </r>
  </si>
  <si>
    <r>
      <t xml:space="preserve">V4+ indoor distributor </t>
    </r>
    <r>
      <rPr>
        <sz val="10"/>
        <rFont val="Calibri"/>
        <family val="2"/>
      </rPr>
      <t>with insulation</t>
    </r>
  </si>
  <si>
    <t xml:space="preserve">Quantum duct indoor units                                         CB certificate R410A </t>
  </si>
  <si>
    <t>Universal outdoor units          CB certificate R410A</t>
  </si>
  <si>
    <r>
      <rPr>
        <sz val="10"/>
        <rFont val="Times New Roman"/>
        <family val="1"/>
      </rPr>
      <t xml:space="preserve">MK-CBS Duct of 3-Row </t>
    </r>
    <r>
      <rPr>
        <b/>
        <sz val="10"/>
        <rFont val="Times New Roman"/>
        <family val="1"/>
      </rPr>
      <t>(right connection)</t>
    </r>
  </si>
  <si>
    <r>
      <rPr>
        <sz val="10"/>
        <rFont val="Times New Roman"/>
        <family val="1"/>
      </rPr>
      <t>MK-CBS Duct of 3-Row</t>
    </r>
    <r>
      <rPr>
        <b/>
        <sz val="10"/>
        <rFont val="Times New Roman"/>
        <family val="1"/>
      </rPr>
      <t xml:space="preserve"> (right connection)</t>
    </r>
  </si>
  <si>
    <t>Прайс Лист (розница)</t>
  </si>
  <si>
    <t>Цена со скидкой 62%</t>
  </si>
  <si>
    <r>
      <t>Panel for V8 DC Q4 2.8~14KW</t>
    </r>
    <r>
      <rPr>
        <sz val="10"/>
        <color rgb="FFFF0000"/>
        <rFont val="Times New Roman"/>
        <family val="1"/>
      </rPr>
      <t>，</t>
    </r>
    <r>
      <rPr>
        <sz val="10"/>
        <color rgb="FFFF0000"/>
        <rFont val="Calibri"/>
        <family val="2"/>
      </rPr>
      <t>with Human Detect Sensor</t>
    </r>
    <r>
      <rPr>
        <sz val="10"/>
        <color rgb="FFFF0000"/>
        <rFont val="Times New Roman"/>
        <family val="1"/>
      </rPr>
      <t>，</t>
    </r>
    <r>
      <rPr>
        <sz val="10"/>
        <color rgb="FFFF0000"/>
        <rFont val="Calibri"/>
        <family val="2"/>
      </rPr>
      <t>with Individual louver control</t>
    </r>
  </si>
  <si>
    <r>
      <t xml:space="preserve">ATOM OU Cooling and Heating </t>
    </r>
    <r>
      <rPr>
        <sz val="10"/>
        <color rgb="FFFF0000"/>
        <rFont val="Calibri"/>
        <family val="2"/>
        <charset val="204"/>
      </rPr>
      <t>(Примечание : в прайсе с продажными ценами старшая модель "V68" ошибочно называется "V72"</t>
    </r>
  </si>
  <si>
    <t>эта модель идет на замену стандартной MC-SS130/RN1</t>
  </si>
  <si>
    <t>Chiller King Series (НЕ ПРЕДЛАГАЕМ ЭТУ МОДЕЛЬ)</t>
  </si>
  <si>
    <t xml:space="preserve">MHL-96HDN1 / </t>
  </si>
  <si>
    <t xml:space="preserve">Medium Static Pressure Duct
</t>
  </si>
  <si>
    <t>комплект цена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</si>
</sst>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 * #,##0.00_ ;_ * \-#,##0.00_ ;_ * &quot;-&quot;??_ ;_ @_ "/>
    <numFmt numFmtId="165" formatCode="_ \¥* #,##0.00_ ;_ \¥* \-#,##0.00_ ;_ \¥* &quot;-&quot;??_ ;_ @_ "/>
    <numFmt numFmtId="166" formatCode="\¥#,##0_);[Red]\(\¥#,##0\)"/>
    <numFmt numFmtId="167" formatCode="0_);[Red]\(0\)"/>
    <numFmt numFmtId="168" formatCode="0.0_ "/>
    <numFmt numFmtId="169" formatCode="0_ "/>
    <numFmt numFmtId="170" formatCode="0.0_);[Red]\(0.0\)"/>
    <numFmt numFmtId="171" formatCode="0_);\(0\)"/>
    <numFmt numFmtId="172" formatCode="000000"/>
    <numFmt numFmtId="173" formatCode="0_);[Red]\!\(0\!\)"/>
    <numFmt numFmtId="174" formatCode="0.00_);[Red]\(0.00\)"/>
    <numFmt numFmtId="175" formatCode="[$¥-804]#,##0.00;[$¥-804]\-#,##0.00"/>
    <numFmt numFmtId="176" formatCode="_-[$$-409]* #,##0_ ;_-[$$-409]* \-#,##0\ ;_-[$$-409]* &quot;-&quot;_ ;_-@_ "/>
    <numFmt numFmtId="177" formatCode="[$$-409]#,##0.00"/>
    <numFmt numFmtId="178" formatCode="_-[$$-409]* #,##0.0_ ;_-[$$-409]* \-#,##0.0\ ;_-[$$-409]* &quot;-&quot;_ ;_-@_ "/>
  </numFmts>
  <fonts count="94">
    <font>
      <sz val="12"/>
      <name val="宋体"/>
      <charset val="134"/>
    </font>
    <font>
      <sz val="10"/>
      <color theme="0"/>
      <name val="Times New Roman"/>
      <family val="1"/>
    </font>
    <font>
      <sz val="10"/>
      <color theme="1"/>
      <name val="Times New Roman"/>
      <family val="1"/>
    </font>
    <font>
      <sz val="11"/>
      <color theme="1"/>
      <name val="微软雅黑"/>
      <family val="2"/>
      <charset val="134"/>
    </font>
    <font>
      <sz val="10"/>
      <color rgb="FFFF0000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sz val="10"/>
      <color indexed="8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b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rgb="FF000000"/>
      <name val="Times New Roman"/>
      <family val="1"/>
    </font>
    <font>
      <sz val="10"/>
      <name val="Arial"/>
      <family val="2"/>
    </font>
    <font>
      <sz val="12"/>
      <name val="Arial Narrow"/>
      <family val="2"/>
    </font>
    <font>
      <sz val="11"/>
      <color theme="1"/>
      <name val="Calibri"/>
      <family val="2"/>
      <scheme val="minor"/>
    </font>
    <font>
      <sz val="14"/>
      <name val="Arial Narrow"/>
      <family val="2"/>
    </font>
    <font>
      <b/>
      <sz val="14"/>
      <name val="Arial Narrow"/>
      <family val="2"/>
    </font>
    <font>
      <sz val="14"/>
      <color theme="1"/>
      <name val="Arial Narrow"/>
      <family val="2"/>
    </font>
    <font>
      <sz val="12"/>
      <color rgb="FF000000"/>
      <name val="Arial Narrow"/>
      <family val="2"/>
    </font>
    <font>
      <sz val="10"/>
      <color theme="1"/>
      <name val="Arial"/>
      <family val="2"/>
    </font>
    <font>
      <sz val="10"/>
      <color theme="3" tint="-0.499984740745262"/>
      <name val="Arial"/>
      <family val="2"/>
    </font>
    <font>
      <sz val="10"/>
      <color indexed="8"/>
      <name val="Arial"/>
      <family val="2"/>
    </font>
    <font>
      <sz val="11"/>
      <name val="Arial"/>
      <family val="2"/>
    </font>
    <font>
      <sz val="10"/>
      <color rgb="FFFF0000"/>
      <name val="Arial"/>
      <family val="2"/>
    </font>
    <font>
      <sz val="12"/>
      <color rgb="FFFF0000"/>
      <name val="宋体"/>
      <family val="3"/>
      <charset val="134"/>
    </font>
    <font>
      <sz val="10"/>
      <color indexed="8"/>
      <name val="Arial Narrow"/>
      <family val="2"/>
    </font>
    <font>
      <sz val="10"/>
      <name val="Arial Narrow"/>
      <family val="2"/>
    </font>
    <font>
      <sz val="10"/>
      <color theme="1"/>
      <name val="Arial Narrow"/>
      <family val="2"/>
    </font>
    <font>
      <sz val="11"/>
      <name val="Arial Unicode MS"/>
      <family val="2"/>
    </font>
    <font>
      <sz val="10"/>
      <color theme="1"/>
      <name val="Arial Unicode MS"/>
      <family val="2"/>
    </font>
    <font>
      <sz val="10"/>
      <name val="Arial Unicode MS"/>
      <family val="2"/>
    </font>
    <font>
      <sz val="11"/>
      <color theme="1"/>
      <name val="Calibri"/>
      <family val="3"/>
      <charset val="134"/>
      <scheme val="minor"/>
    </font>
    <font>
      <sz val="10"/>
      <color theme="1"/>
      <name val="Calibri"/>
      <family val="3"/>
      <charset val="134"/>
      <scheme val="minor"/>
    </font>
    <font>
      <u/>
      <sz val="12"/>
      <color theme="10"/>
      <name val="宋体"/>
      <family val="3"/>
      <charset val="134"/>
    </font>
    <font>
      <sz val="8"/>
      <name val="Arial"/>
      <family val="2"/>
    </font>
    <font>
      <sz val="9"/>
      <color theme="1"/>
      <name val="Calibri"/>
      <family val="3"/>
      <charset val="134"/>
      <scheme val="minor"/>
    </font>
    <font>
      <sz val="10"/>
      <color indexed="8"/>
      <name val="宋体"/>
      <family val="3"/>
      <charset val="134"/>
    </font>
    <font>
      <b/>
      <sz val="10"/>
      <name val="Arial"/>
      <family val="2"/>
    </font>
    <font>
      <sz val="10"/>
      <name val="Helv"/>
      <family val="2"/>
    </font>
    <font>
      <sz val="10"/>
      <name val="微软雅黑"/>
      <family val="2"/>
      <charset val="134"/>
    </font>
    <font>
      <i/>
      <sz val="10"/>
      <color theme="1"/>
      <name val="Times New Roman"/>
      <family val="1"/>
    </font>
    <font>
      <u/>
      <sz val="10"/>
      <color rgb="FFFF0000"/>
      <name val="Times New Roman"/>
      <family val="1"/>
    </font>
    <font>
      <sz val="9"/>
      <name val="宋体"/>
      <family val="3"/>
      <charset val="134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10"/>
      <color theme="1"/>
      <name val="宋体"/>
      <family val="3"/>
      <charset val="134"/>
    </font>
    <font>
      <b/>
      <sz val="1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FF0000"/>
      <name val="Calibri"/>
      <family val="2"/>
    </font>
    <font>
      <sz val="10"/>
      <color rgb="FF000000"/>
      <name val="Calibri"/>
      <family val="2"/>
    </font>
    <font>
      <b/>
      <sz val="9"/>
      <name val="Calibri"/>
      <family val="2"/>
    </font>
    <font>
      <sz val="12"/>
      <name val="Calibri"/>
      <family val="2"/>
    </font>
    <font>
      <b/>
      <sz val="10"/>
      <color theme="1"/>
      <name val="Calibri"/>
      <family val="2"/>
    </font>
    <font>
      <sz val="10"/>
      <color indexed="8"/>
      <name val="Calibri"/>
      <family val="2"/>
    </font>
    <font>
      <sz val="9"/>
      <name val="Calibri"/>
      <family val="2"/>
    </font>
    <font>
      <sz val="9"/>
      <name val="Calibri"/>
      <family val="3"/>
      <charset val="134"/>
      <scheme val="minor"/>
    </font>
    <font>
      <b/>
      <u/>
      <sz val="10"/>
      <name val="Calibri"/>
      <family val="2"/>
    </font>
    <font>
      <sz val="9"/>
      <color theme="1"/>
      <name val="Calibri"/>
      <family val="2"/>
    </font>
    <font>
      <sz val="9"/>
      <color indexed="8"/>
      <name val="Calibri"/>
      <family val="2"/>
    </font>
    <font>
      <sz val="9"/>
      <color rgb="FFFF0000"/>
      <name val="Calibri"/>
      <family val="2"/>
    </font>
    <font>
      <sz val="9"/>
      <color rgb="FF000000"/>
      <name val="Calibri"/>
      <family val="2"/>
    </font>
    <font>
      <b/>
      <u/>
      <sz val="9"/>
      <name val="Calibri"/>
      <family val="2"/>
    </font>
    <font>
      <sz val="10"/>
      <name val="Calibri"/>
      <family val="3"/>
    </font>
    <font>
      <b/>
      <sz val="12"/>
      <name val="Calibri"/>
      <family val="2"/>
    </font>
    <font>
      <b/>
      <sz val="12"/>
      <color indexed="8"/>
      <name val="Calibri"/>
      <family val="2"/>
    </font>
    <font>
      <sz val="12"/>
      <name val="宋体"/>
      <charset val="134"/>
    </font>
    <font>
      <b/>
      <sz val="12"/>
      <name val="Calibri"/>
      <family val="2"/>
      <charset val="204"/>
    </font>
    <font>
      <sz val="10"/>
      <name val="Calibri"/>
      <family val="2"/>
      <charset val="204"/>
    </font>
    <font>
      <b/>
      <sz val="10"/>
      <name val="Calibri"/>
      <family val="2"/>
      <charset val="204"/>
    </font>
    <font>
      <sz val="10"/>
      <color theme="1"/>
      <name val="Calibri"/>
      <family val="2"/>
      <charset val="204"/>
    </font>
    <font>
      <sz val="10"/>
      <color theme="1"/>
      <name val="微软雅黑"/>
      <family val="2"/>
      <charset val="134"/>
    </font>
    <font>
      <sz val="9"/>
      <name val="Calibri"/>
      <family val="2"/>
      <charset val="204"/>
    </font>
    <font>
      <sz val="9"/>
      <color theme="1"/>
      <name val="Calibri"/>
      <family val="2"/>
      <charset val="204"/>
    </font>
    <font>
      <sz val="9"/>
      <color indexed="8"/>
      <name val="Calibri"/>
      <family val="2"/>
      <charset val="204"/>
    </font>
    <font>
      <sz val="9"/>
      <color rgb="FF000000"/>
      <name val="Calibri"/>
      <family val="2"/>
      <charset val="204"/>
    </font>
    <font>
      <sz val="12"/>
      <name val="Calibri"/>
      <family val="2"/>
      <charset val="204"/>
    </font>
    <font>
      <b/>
      <sz val="12"/>
      <color indexed="8"/>
      <name val="Calibri"/>
      <family val="2"/>
      <charset val="204"/>
    </font>
    <font>
      <sz val="10"/>
      <name val="Times New Roman"/>
      <family val="1"/>
      <charset val="204"/>
    </font>
    <font>
      <sz val="10"/>
      <color indexed="8"/>
      <name val="Times New Roman"/>
      <family val="1"/>
      <charset val="204"/>
    </font>
    <font>
      <u/>
      <sz val="10"/>
      <name val="Calibri"/>
      <family val="2"/>
    </font>
    <font>
      <sz val="11"/>
      <name val="Calibri"/>
      <family val="2"/>
      <charset val="204"/>
    </font>
    <font>
      <b/>
      <sz val="10"/>
      <name val="Times New Roman"/>
      <family val="1"/>
      <charset val="204"/>
    </font>
    <font>
      <sz val="12"/>
      <name val="Times New Roman"/>
      <family val="1"/>
      <charset val="204"/>
    </font>
    <font>
      <sz val="10"/>
      <name val="Arial"/>
      <family val="2"/>
      <charset val="204"/>
    </font>
    <font>
      <b/>
      <sz val="9"/>
      <name val="Calibri"/>
      <family val="2"/>
      <charset val="204"/>
    </font>
    <font>
      <sz val="10"/>
      <color rgb="FFFF0000"/>
      <name val="Calibri"/>
      <family val="2"/>
      <charset val="204"/>
    </font>
    <font>
      <b/>
      <sz val="10"/>
      <color rgb="FFFF0000"/>
      <name val="Calibri"/>
      <family val="2"/>
      <charset val="204"/>
    </font>
    <font>
      <sz val="10"/>
      <name val="Calibri"/>
      <family val="2"/>
      <charset val="204"/>
      <scheme val="minor"/>
    </font>
    <font>
      <b/>
      <sz val="10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8">
    <xf numFmtId="0" fontId="0" fillId="0" borderId="0"/>
    <xf numFmtId="0" fontId="16" fillId="0" borderId="0"/>
    <xf numFmtId="0" fontId="8" fillId="0" borderId="0"/>
    <xf numFmtId="0" fontId="36" fillId="0" borderId="0"/>
    <xf numFmtId="0" fontId="37" fillId="0" borderId="0" applyNumberFormat="0" applyFill="0" applyBorder="0" applyAlignment="0" applyProtection="0"/>
    <xf numFmtId="0" fontId="38" fillId="0" borderId="0"/>
    <xf numFmtId="0" fontId="18" fillId="0" borderId="0"/>
    <xf numFmtId="0" fontId="18" fillId="0" borderId="0">
      <alignment vertical="center"/>
    </xf>
    <xf numFmtId="9" fontId="47" fillId="0" borderId="0" applyFont="0" applyFill="0" applyBorder="0" applyAlignment="0" applyProtection="0">
      <alignment vertical="center"/>
    </xf>
    <xf numFmtId="0" fontId="47" fillId="0" borderId="0"/>
    <xf numFmtId="0" fontId="47" fillId="0" borderId="0"/>
    <xf numFmtId="0" fontId="47" fillId="0" borderId="0"/>
    <xf numFmtId="0" fontId="39" fillId="0" borderId="0"/>
    <xf numFmtId="0" fontId="47" fillId="0" borderId="0">
      <alignment vertical="center"/>
    </xf>
    <xf numFmtId="0" fontId="47" fillId="0" borderId="0">
      <alignment vertical="center"/>
    </xf>
    <xf numFmtId="0" fontId="18" fillId="0" borderId="0"/>
    <xf numFmtId="0" fontId="47" fillId="0" borderId="0"/>
    <xf numFmtId="0" fontId="23" fillId="0" borderId="0">
      <alignment vertical="center"/>
    </xf>
    <xf numFmtId="0" fontId="47" fillId="0" borderId="0">
      <alignment vertical="center"/>
    </xf>
    <xf numFmtId="165" fontId="47" fillId="0" borderId="0" applyFont="0" applyFill="0" applyBorder="0" applyAlignment="0" applyProtection="0">
      <alignment vertical="center"/>
    </xf>
    <xf numFmtId="164" fontId="47" fillId="0" borderId="0" applyFont="0" applyFill="0" applyBorder="0" applyAlignment="0" applyProtection="0">
      <alignment vertical="center"/>
    </xf>
    <xf numFmtId="164" fontId="40" fillId="0" borderId="0" applyFont="0" applyFill="0" applyBorder="0" applyAlignment="0" applyProtection="0">
      <alignment vertical="center"/>
    </xf>
    <xf numFmtId="164" fontId="39" fillId="0" borderId="0" applyFont="0" applyFill="0" applyBorder="0" applyAlignment="0" applyProtection="0">
      <alignment vertical="center"/>
    </xf>
    <xf numFmtId="164" fontId="41" fillId="0" borderId="0" applyFont="0" applyFill="0" applyBorder="0" applyAlignment="0" applyProtection="0"/>
    <xf numFmtId="0" fontId="42" fillId="0" borderId="0"/>
    <xf numFmtId="0" fontId="35" fillId="0" borderId="0">
      <alignment vertical="center"/>
    </xf>
    <xf numFmtId="0" fontId="70" fillId="0" borderId="0"/>
    <xf numFmtId="175" fontId="47" fillId="0" borderId="0"/>
  </cellStyleXfs>
  <cellXfs count="864">
    <xf numFmtId="0" fontId="0" fillId="0" borderId="0" xfId="0"/>
    <xf numFmtId="0" fontId="0" fillId="0" borderId="0" xfId="0" applyAlignment="1">
      <alignment horizontal="left"/>
    </xf>
    <xf numFmtId="166" fontId="0" fillId="0" borderId="0" xfId="0" applyNumberFormat="1"/>
    <xf numFmtId="0" fontId="1" fillId="2" borderId="1" xfId="13" applyFont="1" applyFill="1" applyBorder="1" applyAlignment="1">
      <alignment horizontal="left" vertical="center" wrapText="1"/>
    </xf>
    <xf numFmtId="167" fontId="1" fillId="2" borderId="1" xfId="13" applyNumberFormat="1" applyFont="1" applyFill="1" applyBorder="1" applyAlignment="1">
      <alignment horizontal="left" vertical="center" wrapText="1"/>
    </xf>
    <xf numFmtId="167" fontId="1" fillId="3" borderId="1" xfId="13" applyNumberFormat="1" applyFont="1" applyFill="1" applyBorder="1" applyAlignment="1">
      <alignment horizontal="left" vertical="center" wrapText="1"/>
    </xf>
    <xf numFmtId="0" fontId="2" fillId="0" borderId="1" xfId="13" applyFont="1" applyBorder="1" applyAlignment="1">
      <alignment horizontal="left" vertical="center" wrapText="1"/>
    </xf>
    <xf numFmtId="167" fontId="2" fillId="0" borderId="1" xfId="13" applyNumberFormat="1" applyFont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13" applyFont="1" applyBorder="1" applyAlignment="1">
      <alignment horizontal="left" vertical="center"/>
    </xf>
    <xf numFmtId="49" fontId="2" fillId="0" borderId="1" xfId="13" applyNumberFormat="1" applyFont="1" applyBorder="1" applyAlignment="1">
      <alignment horizontal="left" vertical="center"/>
    </xf>
    <xf numFmtId="167" fontId="2" fillId="4" borderId="1" xfId="13" applyNumberFormat="1" applyFont="1" applyFill="1" applyBorder="1" applyAlignment="1">
      <alignment horizontal="left" vertical="center"/>
    </xf>
    <xf numFmtId="167" fontId="2" fillId="0" borderId="1" xfId="13" applyNumberFormat="1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166" fontId="1" fillId="2" borderId="1" xfId="13" applyNumberFormat="1" applyFont="1" applyFill="1" applyBorder="1" applyAlignment="1">
      <alignment horizontal="left" vertical="center" wrapText="1"/>
    </xf>
    <xf numFmtId="167" fontId="1" fillId="3" borderId="3" xfId="13" applyNumberFormat="1" applyFont="1" applyFill="1" applyBorder="1" applyAlignment="1">
      <alignment horizontal="left" vertical="center" wrapText="1"/>
    </xf>
    <xf numFmtId="0" fontId="5" fillId="0" borderId="0" xfId="0" applyFont="1"/>
    <xf numFmtId="166" fontId="5" fillId="5" borderId="1" xfId="13" applyNumberFormat="1" applyFont="1" applyFill="1" applyBorder="1" applyAlignment="1">
      <alignment horizontal="left" vertical="center"/>
    </xf>
    <xf numFmtId="0" fontId="5" fillId="0" borderId="0" xfId="0" applyFont="1" applyAlignment="1">
      <alignment wrapText="1"/>
    </xf>
    <xf numFmtId="166" fontId="5" fillId="0" borderId="1" xfId="13" applyNumberFormat="1" applyFont="1" applyBorder="1" applyAlignment="1">
      <alignment horizontal="left" vertical="center"/>
    </xf>
    <xf numFmtId="0" fontId="5" fillId="2" borderId="0" xfId="0" applyFont="1" applyFill="1" applyAlignment="1">
      <alignment horizontal="center" vertical="center" wrapText="1"/>
    </xf>
    <xf numFmtId="167" fontId="2" fillId="4" borderId="1" xfId="13" applyNumberFormat="1" applyFont="1" applyFill="1" applyBorder="1" applyAlignment="1">
      <alignment horizontal="left" vertical="center" wrapText="1"/>
    </xf>
    <xf numFmtId="49" fontId="5" fillId="6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168" fontId="2" fillId="0" borderId="1" xfId="13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center"/>
    </xf>
    <xf numFmtId="0" fontId="5" fillId="3" borderId="0" xfId="0" applyFont="1" applyFill="1"/>
    <xf numFmtId="49" fontId="5" fillId="6" borderId="1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/>
    </xf>
    <xf numFmtId="49" fontId="5" fillId="4" borderId="1" xfId="0" applyNumberFormat="1" applyFont="1" applyFill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9" fontId="5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/>
    <xf numFmtId="169" fontId="5" fillId="6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/>
    </xf>
    <xf numFmtId="166" fontId="5" fillId="0" borderId="1" xfId="0" applyNumberFormat="1" applyFont="1" applyBorder="1" applyAlignment="1">
      <alignment horizontal="left"/>
    </xf>
    <xf numFmtId="0" fontId="5" fillId="2" borderId="0" xfId="0" applyFont="1" applyFill="1" applyAlignment="1">
      <alignment vertical="top" wrapText="1"/>
    </xf>
    <xf numFmtId="166" fontId="0" fillId="0" borderId="1" xfId="0" applyNumberFormat="1" applyBorder="1"/>
    <xf numFmtId="166" fontId="8" fillId="0" borderId="1" xfId="0" applyNumberFormat="1" applyFont="1" applyBorder="1" applyAlignment="1">
      <alignment horizontal="left"/>
    </xf>
    <xf numFmtId="0" fontId="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9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9" fontId="7" fillId="0" borderId="1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169" fontId="7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67" fontId="15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1" fontId="5" fillId="0" borderId="0" xfId="0" applyNumberFormat="1" applyFont="1" applyAlignment="1">
      <alignment horizontal="center" vertical="center" wrapText="1"/>
    </xf>
    <xf numFmtId="169" fontId="7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49" fontId="7" fillId="0" borderId="12" xfId="0" applyNumberFormat="1" applyFont="1" applyBorder="1" applyAlignment="1">
      <alignment horizontal="left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173" fontId="5" fillId="0" borderId="0" xfId="0" applyNumberFormat="1" applyFont="1" applyAlignment="1">
      <alignment horizontal="left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167" fontId="7" fillId="0" borderId="1" xfId="0" applyNumberFormat="1" applyFont="1" applyBorder="1" applyAlignment="1">
      <alignment horizontal="center" vertical="center" wrapText="1"/>
    </xf>
    <xf numFmtId="167" fontId="5" fillId="0" borderId="0" xfId="0" applyNumberFormat="1" applyFont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167" fontId="5" fillId="0" borderId="1" xfId="11" applyNumberFormat="1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167" fontId="8" fillId="0" borderId="0" xfId="0" applyNumberFormat="1" applyFont="1" applyAlignment="1">
      <alignment vertical="center"/>
    </xf>
    <xf numFmtId="167" fontId="16" fillId="0" borderId="1" xfId="11" applyNumberFormat="1" applyFont="1" applyBorder="1" applyAlignment="1">
      <alignment horizontal="center" vertical="center" wrapText="1"/>
    </xf>
    <xf numFmtId="0" fontId="18" fillId="0" borderId="0" xfId="15" applyAlignment="1">
      <alignment horizontal="center" vertical="center"/>
    </xf>
    <xf numFmtId="0" fontId="0" fillId="7" borderId="0" xfId="0" applyFill="1" applyAlignment="1">
      <alignment horizontal="center"/>
    </xf>
    <xf numFmtId="49" fontId="0" fillId="7" borderId="0" xfId="0" applyNumberFormat="1" applyFill="1" applyAlignment="1">
      <alignment horizontal="center"/>
    </xf>
    <xf numFmtId="0" fontId="19" fillId="0" borderId="1" xfId="0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10" borderId="1" xfId="0" applyFont="1" applyFill="1" applyBorder="1" applyAlignment="1">
      <alignment horizontal="center" vertical="center"/>
    </xf>
    <xf numFmtId="49" fontId="19" fillId="10" borderId="1" xfId="0" applyNumberFormat="1" applyFont="1" applyFill="1" applyBorder="1" applyAlignment="1">
      <alignment horizontal="center" vertical="center"/>
    </xf>
    <xf numFmtId="0" fontId="19" fillId="10" borderId="2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0" fontId="19" fillId="6" borderId="1" xfId="0" applyFont="1" applyFill="1" applyBorder="1" applyAlignment="1">
      <alignment horizontal="center" vertical="center"/>
    </xf>
    <xf numFmtId="49" fontId="19" fillId="6" borderId="4" xfId="0" applyNumberFormat="1" applyFont="1" applyFill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/>
    </xf>
    <xf numFmtId="0" fontId="20" fillId="0" borderId="18" xfId="0" applyFont="1" applyBorder="1" applyAlignment="1">
      <alignment vertical="center"/>
    </xf>
    <xf numFmtId="0" fontId="19" fillId="5" borderId="21" xfId="0" applyFont="1" applyFill="1" applyBorder="1" applyAlignment="1">
      <alignment horizontal="center" vertical="center"/>
    </xf>
    <xf numFmtId="49" fontId="19" fillId="6" borderId="1" xfId="0" applyNumberFormat="1" applyFont="1" applyFill="1" applyBorder="1" applyAlignment="1">
      <alignment horizontal="center" vertical="center"/>
    </xf>
    <xf numFmtId="167" fontId="19" fillId="0" borderId="1" xfId="0" applyNumberFormat="1" applyFont="1" applyBorder="1" applyAlignment="1">
      <alignment horizontal="center" vertical="center" wrapText="1"/>
    </xf>
    <xf numFmtId="167" fontId="19" fillId="5" borderId="1" xfId="0" applyNumberFormat="1" applyFont="1" applyFill="1" applyBorder="1" applyAlignment="1">
      <alignment horizontal="center" vertical="center" wrapText="1"/>
    </xf>
    <xf numFmtId="49" fontId="19" fillId="5" borderId="1" xfId="0" applyNumberFormat="1" applyFont="1" applyFill="1" applyBorder="1" applyAlignment="1">
      <alignment horizontal="center" vertical="center" wrapText="1"/>
    </xf>
    <xf numFmtId="0" fontId="19" fillId="6" borderId="4" xfId="0" applyFont="1" applyFill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0" fontId="19" fillId="5" borderId="4" xfId="0" applyFont="1" applyFill="1" applyBorder="1" applyAlignment="1">
      <alignment horizontal="center" vertical="center" wrapText="1"/>
    </xf>
    <xf numFmtId="49" fontId="19" fillId="5" borderId="4" xfId="0" applyNumberFormat="1" applyFont="1" applyFill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 wrapText="1"/>
    </xf>
    <xf numFmtId="49" fontId="19" fillId="6" borderId="4" xfId="0" applyNumberFormat="1" applyFont="1" applyFill="1" applyBorder="1" applyAlignment="1">
      <alignment horizontal="center" vertical="center" wrapText="1"/>
    </xf>
    <xf numFmtId="49" fontId="19" fillId="0" borderId="1" xfId="18" applyNumberFormat="1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 wrapText="1"/>
    </xf>
    <xf numFmtId="0" fontId="19" fillId="10" borderId="1" xfId="0" applyFont="1" applyFill="1" applyBorder="1" applyAlignment="1">
      <alignment horizontal="center" vertical="center" wrapText="1"/>
    </xf>
    <xf numFmtId="0" fontId="20" fillId="10" borderId="18" xfId="0" applyFont="1" applyFill="1" applyBorder="1" applyAlignment="1">
      <alignment vertical="center"/>
    </xf>
    <xf numFmtId="49" fontId="19" fillId="10" borderId="1" xfId="0" applyNumberFormat="1" applyFont="1" applyFill="1" applyBorder="1" applyAlignment="1">
      <alignment horizontal="center" vertical="center" wrapText="1"/>
    </xf>
    <xf numFmtId="0" fontId="19" fillId="10" borderId="21" xfId="0" applyFont="1" applyFill="1" applyBorder="1" applyAlignment="1">
      <alignment horizontal="center"/>
    </xf>
    <xf numFmtId="167" fontId="19" fillId="6" borderId="1" xfId="0" applyNumberFormat="1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49" fontId="19" fillId="5" borderId="1" xfId="0" applyNumberFormat="1" applyFont="1" applyFill="1" applyBorder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49" fontId="19" fillId="8" borderId="1" xfId="0" applyNumberFormat="1" applyFont="1" applyFill="1" applyBorder="1" applyAlignment="1">
      <alignment horizontal="center" vertical="center"/>
    </xf>
    <xf numFmtId="167" fontId="19" fillId="8" borderId="1" xfId="0" applyNumberFormat="1" applyFont="1" applyFill="1" applyBorder="1" applyAlignment="1">
      <alignment horizontal="center" vertical="center"/>
    </xf>
    <xf numFmtId="0" fontId="19" fillId="8" borderId="21" xfId="0" applyFont="1" applyFill="1" applyBorder="1" applyAlignment="1">
      <alignment horizontal="center" vertical="center"/>
    </xf>
    <xf numFmtId="167" fontId="19" fillId="8" borderId="1" xfId="0" applyNumberFormat="1" applyFont="1" applyFill="1" applyBorder="1" applyAlignment="1">
      <alignment horizontal="center" vertical="center" wrapText="1"/>
    </xf>
    <xf numFmtId="167" fontId="19" fillId="6" borderId="1" xfId="0" applyNumberFormat="1" applyFont="1" applyFill="1" applyBorder="1" applyAlignment="1">
      <alignment horizontal="center" vertical="center" wrapText="1"/>
    </xf>
    <xf numFmtId="49" fontId="19" fillId="6" borderId="1" xfId="0" applyNumberFormat="1" applyFont="1" applyFill="1" applyBorder="1" applyAlignment="1">
      <alignment horizontal="center" vertical="center" wrapText="1"/>
    </xf>
    <xf numFmtId="0" fontId="19" fillId="8" borderId="1" xfId="0" applyFont="1" applyFill="1" applyBorder="1" applyAlignment="1">
      <alignment horizontal="center" vertical="center" wrapText="1"/>
    </xf>
    <xf numFmtId="167" fontId="19" fillId="5" borderId="2" xfId="0" applyNumberFormat="1" applyFont="1" applyFill="1" applyBorder="1" applyAlignment="1">
      <alignment horizontal="center" vertical="center" wrapText="1"/>
    </xf>
    <xf numFmtId="49" fontId="19" fillId="5" borderId="2" xfId="0" applyNumberFormat="1" applyFont="1" applyFill="1" applyBorder="1" applyAlignment="1">
      <alignment horizontal="center" vertical="center" wrapText="1"/>
    </xf>
    <xf numFmtId="167" fontId="19" fillId="6" borderId="4" xfId="0" applyNumberFormat="1" applyFont="1" applyFill="1" applyBorder="1" applyAlignment="1">
      <alignment horizontal="center" vertical="center" wrapText="1"/>
    </xf>
    <xf numFmtId="167" fontId="19" fillId="10" borderId="4" xfId="0" applyNumberFormat="1" applyFont="1" applyFill="1" applyBorder="1" applyAlignment="1">
      <alignment horizontal="center" vertical="center" wrapText="1"/>
    </xf>
    <xf numFmtId="167" fontId="19" fillId="6" borderId="2" xfId="0" applyNumberFormat="1" applyFont="1" applyFill="1" applyBorder="1" applyAlignment="1">
      <alignment horizontal="center" vertical="center"/>
    </xf>
    <xf numFmtId="167" fontId="19" fillId="8" borderId="2" xfId="0" applyNumberFormat="1" applyFont="1" applyFill="1" applyBorder="1" applyAlignment="1">
      <alignment horizontal="center" vertical="center" wrapText="1"/>
    </xf>
    <xf numFmtId="167" fontId="19" fillId="0" borderId="2" xfId="0" applyNumberFormat="1" applyFont="1" applyBorder="1" applyAlignment="1">
      <alignment horizontal="center" vertical="center" wrapText="1"/>
    </xf>
    <xf numFmtId="0" fontId="21" fillId="6" borderId="1" xfId="0" applyFont="1" applyFill="1" applyBorder="1" applyAlignment="1">
      <alignment horizontal="center" vertical="center"/>
    </xf>
    <xf numFmtId="49" fontId="21" fillId="6" borderId="1" xfId="0" applyNumberFormat="1" applyFont="1" applyFill="1" applyBorder="1" applyAlignment="1">
      <alignment horizontal="center" vertical="center"/>
    </xf>
    <xf numFmtId="167" fontId="21" fillId="6" borderId="1" xfId="0" applyNumberFormat="1" applyFont="1" applyFill="1" applyBorder="1" applyAlignment="1">
      <alignment horizontal="center" vertical="center"/>
    </xf>
    <xf numFmtId="0" fontId="21" fillId="6" borderId="2" xfId="0" applyFont="1" applyFill="1" applyBorder="1" applyAlignment="1">
      <alignment horizontal="center" vertical="center"/>
    </xf>
    <xf numFmtId="167" fontId="21" fillId="6" borderId="2" xfId="0" applyNumberFormat="1" applyFont="1" applyFill="1" applyBorder="1" applyAlignment="1">
      <alignment horizontal="center" vertical="center"/>
    </xf>
    <xf numFmtId="169" fontId="19" fillId="0" borderId="1" xfId="0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49" fontId="19" fillId="8" borderId="1" xfId="0" applyNumberFormat="1" applyFont="1" applyFill="1" applyBorder="1" applyAlignment="1">
      <alignment horizontal="center" vertical="center" wrapText="1"/>
    </xf>
    <xf numFmtId="0" fontId="19" fillId="5" borderId="1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/>
    </xf>
    <xf numFmtId="0" fontId="0" fillId="2" borderId="0" xfId="0" applyFill="1"/>
    <xf numFmtId="167" fontId="17" fillId="0" borderId="1" xfId="0" applyNumberFormat="1" applyFont="1" applyBorder="1" applyAlignment="1">
      <alignment horizontal="center" vertical="center" wrapText="1"/>
    </xf>
    <xf numFmtId="49" fontId="17" fillId="0" borderId="1" xfId="0" applyNumberFormat="1" applyFont="1" applyBorder="1" applyAlignment="1">
      <alignment horizontal="center" vertical="center" wrapText="1"/>
    </xf>
    <xf numFmtId="167" fontId="17" fillId="0" borderId="21" xfId="0" applyNumberFormat="1" applyFon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167" fontId="17" fillId="0" borderId="22" xfId="0" applyNumberFormat="1" applyFont="1" applyBorder="1" applyAlignment="1">
      <alignment horizontal="center" vertical="center" wrapText="1"/>
    </xf>
    <xf numFmtId="169" fontId="17" fillId="0" borderId="1" xfId="0" applyNumberFormat="1" applyFont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167" fontId="17" fillId="5" borderId="21" xfId="0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69" fontId="17" fillId="0" borderId="21" xfId="0" applyNumberFormat="1" applyFont="1" applyBorder="1" applyAlignment="1">
      <alignment horizontal="center" vertical="center" wrapText="1"/>
    </xf>
    <xf numFmtId="169" fontId="17" fillId="11" borderId="1" xfId="0" applyNumberFormat="1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169" fontId="17" fillId="0" borderId="10" xfId="0" applyNumberFormat="1" applyFont="1" applyBorder="1" applyAlignment="1">
      <alignment horizontal="center" vertical="center" wrapText="1"/>
    </xf>
    <xf numFmtId="49" fontId="17" fillId="0" borderId="10" xfId="0" applyNumberFormat="1" applyFont="1" applyBorder="1" applyAlignment="1">
      <alignment horizontal="center" vertical="center" wrapText="1"/>
    </xf>
    <xf numFmtId="169" fontId="17" fillId="0" borderId="22" xfId="0" applyNumberFormat="1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167" fontId="17" fillId="0" borderId="23" xfId="0" applyNumberFormat="1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11" borderId="1" xfId="0" applyFont="1" applyFill="1" applyBorder="1" applyAlignment="1">
      <alignment horizontal="center" vertical="center" wrapText="1"/>
    </xf>
    <xf numFmtId="169" fontId="17" fillId="5" borderId="1" xfId="0" applyNumberFormat="1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 wrapText="1"/>
    </xf>
    <xf numFmtId="49" fontId="17" fillId="5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/>
    </xf>
    <xf numFmtId="49" fontId="16" fillId="0" borderId="4" xfId="11" applyNumberFormat="1" applyFont="1" applyBorder="1" applyAlignment="1">
      <alignment horizontal="center" vertical="center" wrapText="1"/>
    </xf>
    <xf numFmtId="173" fontId="24" fillId="0" borderId="1" xfId="0" applyNumberFormat="1" applyFont="1" applyBorder="1" applyAlignment="1">
      <alignment horizontal="center" vertical="center" wrapText="1"/>
    </xf>
    <xf numFmtId="49" fontId="16" fillId="0" borderId="1" xfId="11" applyNumberFormat="1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49" fontId="26" fillId="0" borderId="1" xfId="0" applyNumberFormat="1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center" vertical="center" wrapText="1"/>
    </xf>
    <xf numFmtId="173" fontId="24" fillId="8" borderId="1" xfId="0" applyNumberFormat="1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49" fontId="27" fillId="0" borderId="1" xfId="0" applyNumberFormat="1" applyFont="1" applyBorder="1" applyAlignment="1">
      <alignment horizontal="center" vertical="center" wrapText="1"/>
    </xf>
    <xf numFmtId="0" fontId="28" fillId="0" borderId="0" xfId="0" applyFont="1"/>
    <xf numFmtId="173" fontId="27" fillId="0" borderId="1" xfId="0" applyNumberFormat="1" applyFont="1" applyBorder="1" applyAlignment="1">
      <alignment horizontal="center" vertical="center" wrapText="1"/>
    </xf>
    <xf numFmtId="49" fontId="27" fillId="0" borderId="2" xfId="0" applyNumberFormat="1" applyFont="1" applyBorder="1" applyAlignment="1">
      <alignment horizontal="center" vertical="center" wrapText="1"/>
    </xf>
    <xf numFmtId="173" fontId="27" fillId="0" borderId="2" xfId="0" applyNumberFormat="1" applyFont="1" applyBorder="1" applyAlignment="1">
      <alignment horizontal="center" vertical="center" wrapText="1"/>
    </xf>
    <xf numFmtId="0" fontId="28" fillId="0" borderId="1" xfId="0" applyFont="1" applyBorder="1"/>
    <xf numFmtId="0" fontId="25" fillId="6" borderId="1" xfId="0" applyFont="1" applyFill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49" fontId="16" fillId="5" borderId="1" xfId="11" applyNumberFormat="1" applyFont="1" applyFill="1" applyBorder="1" applyAlignment="1">
      <alignment horizontal="center" vertical="center" wrapText="1"/>
    </xf>
    <xf numFmtId="173" fontId="24" fillId="5" borderId="1" xfId="0" applyNumberFormat="1" applyFont="1" applyFill="1" applyBorder="1" applyAlignment="1">
      <alignment horizontal="center" vertical="center" wrapText="1"/>
    </xf>
    <xf numFmtId="167" fontId="16" fillId="5" borderId="1" xfId="11" applyNumberFormat="1" applyFont="1" applyFill="1" applyBorder="1" applyAlignment="1">
      <alignment horizontal="center" vertical="center" wrapText="1"/>
    </xf>
    <xf numFmtId="170" fontId="24" fillId="5" borderId="1" xfId="0" applyNumberFormat="1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173" fontId="24" fillId="0" borderId="4" xfId="0" applyNumberFormat="1" applyFont="1" applyBorder="1" applyAlignment="1">
      <alignment horizontal="center" vertical="center" wrapText="1"/>
    </xf>
    <xf numFmtId="0" fontId="29" fillId="0" borderId="22" xfId="0" applyFont="1" applyBorder="1" applyAlignment="1">
      <alignment horizontal="center" vertical="center" wrapText="1"/>
    </xf>
    <xf numFmtId="0" fontId="30" fillId="0" borderId="8" xfId="0" applyFont="1" applyBorder="1" applyAlignment="1">
      <alignment horizontal="center" vertical="center"/>
    </xf>
    <xf numFmtId="49" fontId="30" fillId="0" borderId="8" xfId="0" applyNumberFormat="1" applyFont="1" applyBorder="1" applyAlignment="1">
      <alignment horizontal="center" vertical="center" wrapText="1"/>
    </xf>
    <xf numFmtId="0" fontId="29" fillId="0" borderId="23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49" fontId="30" fillId="0" borderId="1" xfId="0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49" fontId="31" fillId="0" borderId="1" xfId="0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/>
    </xf>
    <xf numFmtId="49" fontId="30" fillId="0" borderId="2" xfId="0" applyNumberFormat="1" applyFont="1" applyBorder="1" applyAlignment="1">
      <alignment horizontal="center" vertical="center" wrapText="1"/>
    </xf>
    <xf numFmtId="0" fontId="30" fillId="5" borderId="2" xfId="0" applyFont="1" applyFill="1" applyBorder="1" applyAlignment="1">
      <alignment horizontal="center" vertical="center"/>
    </xf>
    <xf numFmtId="0" fontId="29" fillId="5" borderId="23" xfId="0" applyFont="1" applyFill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49" fontId="30" fillId="0" borderId="10" xfId="0" applyNumberFormat="1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/>
    </xf>
    <xf numFmtId="49" fontId="30" fillId="0" borderId="4" xfId="0" applyNumberFormat="1" applyFont="1" applyBorder="1" applyAlignment="1">
      <alignment horizontal="center" vertical="center" wrapText="1"/>
    </xf>
    <xf numFmtId="167" fontId="17" fillId="0" borderId="0" xfId="0" applyNumberFormat="1" applyFont="1" applyAlignment="1">
      <alignment horizontal="center" vertical="center" wrapText="1"/>
    </xf>
    <xf numFmtId="49" fontId="32" fillId="0" borderId="1" xfId="11" applyNumberFormat="1" applyFont="1" applyBorder="1" applyAlignment="1">
      <alignment horizontal="center" vertical="center" wrapText="1"/>
    </xf>
    <xf numFmtId="49" fontId="33" fillId="0" borderId="1" xfId="11" applyNumberFormat="1" applyFont="1" applyBorder="1" applyAlignment="1">
      <alignment horizontal="center" vertical="center" wrapText="1"/>
    </xf>
    <xf numFmtId="49" fontId="17" fillId="0" borderId="4" xfId="0" applyNumberFormat="1" applyFont="1" applyBorder="1" applyAlignment="1">
      <alignment horizontal="center" vertical="center" wrapText="1"/>
    </xf>
    <xf numFmtId="167" fontId="18" fillId="0" borderId="13" xfId="15" applyNumberFormat="1" applyBorder="1" applyAlignment="1">
      <alignment horizontal="center" vertical="center"/>
    </xf>
    <xf numFmtId="167" fontId="18" fillId="0" borderId="9" xfId="15" applyNumberFormat="1" applyBorder="1" applyAlignment="1">
      <alignment horizontal="center" vertical="center"/>
    </xf>
    <xf numFmtId="167" fontId="18" fillId="0" borderId="1" xfId="15" applyNumberFormat="1" applyBorder="1" applyAlignment="1">
      <alignment horizontal="center" vertical="center"/>
    </xf>
    <xf numFmtId="0" fontId="18" fillId="0" borderId="1" xfId="15" applyBorder="1" applyAlignment="1">
      <alignment horizontal="center" vertical="center"/>
    </xf>
    <xf numFmtId="0" fontId="16" fillId="0" borderId="1" xfId="11" applyFont="1" applyBorder="1" applyAlignment="1">
      <alignment horizontal="center" vertical="center"/>
    </xf>
    <xf numFmtId="167" fontId="16" fillId="0" borderId="1" xfId="11" applyNumberFormat="1" applyFont="1" applyBorder="1" applyAlignment="1">
      <alignment horizontal="center" vertical="center"/>
    </xf>
    <xf numFmtId="0" fontId="23" fillId="0" borderId="1" xfId="11" applyFont="1" applyBorder="1" applyAlignment="1">
      <alignment horizontal="center" vertical="center"/>
    </xf>
    <xf numFmtId="167" fontId="18" fillId="0" borderId="1" xfId="15" applyNumberFormat="1" applyBorder="1" applyAlignment="1">
      <alignment horizontal="left" vertical="center"/>
    </xf>
    <xf numFmtId="0" fontId="19" fillId="0" borderId="1" xfId="0" quotePrefix="1" applyFont="1" applyBorder="1" applyAlignment="1">
      <alignment horizontal="center" vertical="center"/>
    </xf>
    <xf numFmtId="49" fontId="19" fillId="0" borderId="1" xfId="0" quotePrefix="1" applyNumberFormat="1" applyFont="1" applyBorder="1" applyAlignment="1">
      <alignment horizontal="center" vertical="center"/>
    </xf>
    <xf numFmtId="167" fontId="21" fillId="6" borderId="1" xfId="0" quotePrefix="1" applyNumberFormat="1" applyFont="1" applyFill="1" applyBorder="1" applyAlignment="1">
      <alignment horizontal="center" vertical="center"/>
    </xf>
    <xf numFmtId="49" fontId="17" fillId="0" borderId="2" xfId="0" quotePrefix="1" applyNumberFormat="1" applyFont="1" applyBorder="1" applyAlignment="1">
      <alignment horizontal="center" vertical="center" wrapText="1"/>
    </xf>
    <xf numFmtId="49" fontId="17" fillId="0" borderId="1" xfId="0" quotePrefix="1" applyNumberFormat="1" applyFont="1" applyBorder="1" applyAlignment="1">
      <alignment horizontal="center" vertical="center" wrapText="1"/>
    </xf>
    <xf numFmtId="49" fontId="30" fillId="0" borderId="1" xfId="11" quotePrefix="1" applyNumberFormat="1" applyFont="1" applyBorder="1" applyAlignment="1">
      <alignment horizontal="center" vertical="center" wrapText="1"/>
    </xf>
    <xf numFmtId="49" fontId="29" fillId="0" borderId="1" xfId="11" quotePrefix="1" applyNumberFormat="1" applyFont="1" applyBorder="1" applyAlignment="1">
      <alignment horizontal="center" vertical="center" wrapText="1"/>
    </xf>
    <xf numFmtId="49" fontId="29" fillId="0" borderId="2" xfId="11" quotePrefix="1" applyNumberFormat="1" applyFont="1" applyBorder="1" applyAlignment="1">
      <alignment horizontal="center" vertical="center" wrapText="1"/>
    </xf>
    <xf numFmtId="49" fontId="32" fillId="0" borderId="1" xfId="15" quotePrefix="1" applyNumberFormat="1" applyFont="1" applyBorder="1" applyAlignment="1">
      <alignment horizontal="center" vertical="center"/>
    </xf>
    <xf numFmtId="49" fontId="33" fillId="0" borderId="1" xfId="15" quotePrefix="1" applyNumberFormat="1" applyFont="1" applyBorder="1" applyAlignment="1">
      <alignment horizontal="center" vertical="center"/>
    </xf>
    <xf numFmtId="169" fontId="34" fillId="5" borderId="1" xfId="15" quotePrefix="1" applyNumberFormat="1" applyFont="1" applyFill="1" applyBorder="1" applyAlignment="1">
      <alignment horizontal="center" vertical="center"/>
    </xf>
    <xf numFmtId="49" fontId="2" fillId="0" borderId="1" xfId="0" quotePrefix="1" applyNumberFormat="1" applyFont="1" applyBorder="1" applyAlignment="1">
      <alignment horizontal="center" vertical="center" wrapText="1"/>
    </xf>
    <xf numFmtId="49" fontId="7" fillId="0" borderId="1" xfId="0" quotePrefix="1" applyNumberFormat="1" applyFont="1" applyBorder="1" applyAlignment="1">
      <alignment horizontal="center" vertical="center"/>
    </xf>
    <xf numFmtId="0" fontId="51" fillId="0" borderId="0" xfId="0" applyFont="1" applyAlignment="1">
      <alignment horizontal="left" vertical="center" wrapText="1"/>
    </xf>
    <xf numFmtId="167" fontId="51" fillId="0" borderId="1" xfId="0" applyNumberFormat="1" applyFont="1" applyBorder="1" applyAlignment="1">
      <alignment horizontal="left" vertical="center" wrapText="1"/>
    </xf>
    <xf numFmtId="0" fontId="51" fillId="0" borderId="1" xfId="0" applyFont="1" applyBorder="1" applyAlignment="1">
      <alignment horizontal="left" vertical="center" wrapText="1"/>
    </xf>
    <xf numFmtId="0" fontId="51" fillId="0" borderId="1" xfId="0" applyFont="1" applyBorder="1" applyAlignment="1">
      <alignment horizontal="left" vertical="center"/>
    </xf>
    <xf numFmtId="0" fontId="51" fillId="0" borderId="0" xfId="0" applyFont="1" applyAlignment="1">
      <alignment horizontal="left" vertical="center"/>
    </xf>
    <xf numFmtId="172" fontId="51" fillId="0" borderId="0" xfId="0" applyNumberFormat="1" applyFont="1" applyAlignment="1">
      <alignment horizontal="left" vertical="center" wrapText="1"/>
    </xf>
    <xf numFmtId="0" fontId="52" fillId="0" borderId="1" xfId="0" applyFont="1" applyBorder="1" applyAlignment="1">
      <alignment horizontal="left" vertical="center"/>
    </xf>
    <xf numFmtId="0" fontId="50" fillId="0" borderId="0" xfId="0" applyFont="1" applyAlignment="1">
      <alignment horizontal="left" vertical="center" wrapText="1"/>
    </xf>
    <xf numFmtId="169" fontId="50" fillId="0" borderId="0" xfId="0" applyNumberFormat="1" applyFont="1" applyAlignment="1">
      <alignment horizontal="left" vertical="center" wrapText="1"/>
    </xf>
    <xf numFmtId="169" fontId="51" fillId="0" borderId="0" xfId="0" applyNumberFormat="1" applyFont="1" applyAlignment="1">
      <alignment horizontal="left" vertical="center" wrapText="1"/>
    </xf>
    <xf numFmtId="49" fontId="58" fillId="0" borderId="1" xfId="0" applyNumberFormat="1" applyFont="1" applyBorder="1" applyAlignment="1">
      <alignment horizontal="left" vertical="center" wrapText="1"/>
    </xf>
    <xf numFmtId="49" fontId="51" fillId="0" borderId="9" xfId="0" applyNumberFormat="1" applyFont="1" applyBorder="1" applyAlignment="1">
      <alignment horizontal="left" vertical="center" wrapText="1"/>
    </xf>
    <xf numFmtId="0" fontId="55" fillId="0" borderId="0" xfId="0" applyFont="1" applyAlignment="1">
      <alignment vertical="center" wrapText="1"/>
    </xf>
    <xf numFmtId="0" fontId="59" fillId="0" borderId="0" xfId="0" applyFont="1" applyAlignment="1">
      <alignment vertical="center"/>
    </xf>
    <xf numFmtId="173" fontId="51" fillId="0" borderId="0" xfId="0" applyNumberFormat="1" applyFont="1" applyAlignment="1">
      <alignment horizontal="left" vertical="center" wrapText="1"/>
    </xf>
    <xf numFmtId="0" fontId="51" fillId="0" borderId="1" xfId="0" applyFont="1" applyBorder="1" applyAlignment="1">
      <alignment horizontal="center" vertical="center"/>
    </xf>
    <xf numFmtId="0" fontId="51" fillId="0" borderId="1" xfId="0" applyFont="1" applyBorder="1" applyAlignment="1">
      <alignment horizontal="left"/>
    </xf>
    <xf numFmtId="49" fontId="51" fillId="0" borderId="1" xfId="0" applyNumberFormat="1" applyFont="1" applyBorder="1" applyAlignment="1">
      <alignment horizontal="left" vertical="center" wrapText="1"/>
    </xf>
    <xf numFmtId="0" fontId="53" fillId="0" borderId="0" xfId="0" applyFont="1" applyAlignment="1">
      <alignment horizontal="left" vertical="center"/>
    </xf>
    <xf numFmtId="0" fontId="57" fillId="0" borderId="1" xfId="0" applyFont="1" applyBorder="1" applyAlignment="1">
      <alignment horizontal="left" vertical="center"/>
    </xf>
    <xf numFmtId="167" fontId="51" fillId="0" borderId="1" xfId="0" applyNumberFormat="1" applyFont="1" applyBorder="1" applyAlignment="1">
      <alignment horizontal="left"/>
    </xf>
    <xf numFmtId="0" fontId="52" fillId="0" borderId="1" xfId="0" applyFont="1" applyBorder="1" applyAlignment="1">
      <alignment horizontal="left"/>
    </xf>
    <xf numFmtId="173" fontId="51" fillId="0" borderId="1" xfId="0" applyNumberFormat="1" applyFont="1" applyBorder="1" applyAlignment="1">
      <alignment horizontal="left" vertical="center" wrapText="1"/>
    </xf>
    <xf numFmtId="0" fontId="50" fillId="0" borderId="1" xfId="0" applyFont="1" applyBorder="1" applyAlignment="1">
      <alignment horizontal="left" vertical="center" wrapText="1"/>
    </xf>
    <xf numFmtId="0" fontId="51" fillId="0" borderId="0" xfId="0" applyFont="1" applyAlignment="1">
      <alignment horizontal="left"/>
    </xf>
    <xf numFmtId="0" fontId="51" fillId="0" borderId="0" xfId="0" applyFont="1" applyAlignment="1">
      <alignment horizontal="center" vertical="center"/>
    </xf>
    <xf numFmtId="169" fontId="51" fillId="0" borderId="1" xfId="0" applyNumberFormat="1" applyFont="1" applyBorder="1" applyAlignment="1">
      <alignment horizontal="left" vertical="center"/>
    </xf>
    <xf numFmtId="0" fontId="59" fillId="0" borderId="0" xfId="0" applyFont="1" applyAlignment="1">
      <alignment horizontal="left" vertical="center"/>
    </xf>
    <xf numFmtId="0" fontId="64" fillId="0" borderId="0" xfId="0" applyFont="1" applyAlignment="1">
      <alignment horizontal="left" vertical="center"/>
    </xf>
    <xf numFmtId="0" fontId="64" fillId="0" borderId="0" xfId="0" applyFont="1" applyAlignment="1">
      <alignment vertical="center"/>
    </xf>
    <xf numFmtId="0" fontId="59" fillId="0" borderId="1" xfId="0" applyFont="1" applyBorder="1" applyAlignment="1">
      <alignment horizontal="left" vertical="center" wrapText="1"/>
    </xf>
    <xf numFmtId="0" fontId="59" fillId="0" borderId="0" xfId="0" applyFont="1" applyAlignment="1">
      <alignment horizontal="left" vertical="center" wrapText="1"/>
    </xf>
    <xf numFmtId="173" fontId="59" fillId="0" borderId="0" xfId="0" applyNumberFormat="1" applyFont="1" applyAlignment="1">
      <alignment horizontal="left" vertical="center" wrapText="1"/>
    </xf>
    <xf numFmtId="0" fontId="59" fillId="0" borderId="1" xfId="0" applyFont="1" applyBorder="1" applyAlignment="1">
      <alignment horizontal="center" vertical="center" wrapText="1"/>
    </xf>
    <xf numFmtId="169" fontId="59" fillId="0" borderId="1" xfId="0" applyNumberFormat="1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65" fillId="0" borderId="0" xfId="0" applyFont="1" applyAlignment="1">
      <alignment horizontal="left"/>
    </xf>
    <xf numFmtId="169" fontId="59" fillId="0" borderId="0" xfId="0" applyNumberFormat="1" applyFont="1" applyAlignment="1">
      <alignment horizontal="left" vertical="center" wrapText="1"/>
    </xf>
    <xf numFmtId="49" fontId="63" fillId="0" borderId="0" xfId="0" applyNumberFormat="1" applyFont="1" applyAlignment="1">
      <alignment horizontal="left" vertical="center" wrapText="1"/>
    </xf>
    <xf numFmtId="0" fontId="55" fillId="0" borderId="0" xfId="0" applyFont="1" applyAlignment="1">
      <alignment horizontal="left" vertical="center" wrapText="1"/>
    </xf>
    <xf numFmtId="0" fontId="55" fillId="0" borderId="0" xfId="0" applyFont="1" applyAlignment="1">
      <alignment vertical="center"/>
    </xf>
    <xf numFmtId="0" fontId="61" fillId="0" borderId="0" xfId="0" applyFont="1" applyAlignment="1">
      <alignment horizontal="left" vertical="center"/>
    </xf>
    <xf numFmtId="167" fontId="51" fillId="0" borderId="1" xfId="0" applyNumberFormat="1" applyFont="1" applyBorder="1" applyAlignment="1">
      <alignment horizontal="left" vertical="center"/>
    </xf>
    <xf numFmtId="167" fontId="51" fillId="0" borderId="0" xfId="0" applyNumberFormat="1" applyFont="1" applyAlignment="1">
      <alignment horizontal="left"/>
    </xf>
    <xf numFmtId="0" fontId="51" fillId="0" borderId="1" xfId="9" applyFont="1" applyBorder="1" applyAlignment="1">
      <alignment horizontal="left" vertical="center"/>
    </xf>
    <xf numFmtId="167" fontId="51" fillId="0" borderId="1" xfId="9" applyNumberFormat="1" applyFont="1" applyBorder="1" applyAlignment="1">
      <alignment horizontal="left" vertical="center"/>
    </xf>
    <xf numFmtId="49" fontId="51" fillId="0" borderId="4" xfId="16" applyNumberFormat="1" applyFont="1" applyBorder="1" applyAlignment="1">
      <alignment horizontal="left" vertical="center" wrapText="1"/>
    </xf>
    <xf numFmtId="167" fontId="51" fillId="0" borderId="4" xfId="10" applyNumberFormat="1" applyFont="1" applyBorder="1" applyAlignment="1">
      <alignment horizontal="left" vertical="center"/>
    </xf>
    <xf numFmtId="49" fontId="51" fillId="0" borderId="1" xfId="16" applyNumberFormat="1" applyFont="1" applyBorder="1" applyAlignment="1">
      <alignment horizontal="left" vertical="center" wrapText="1"/>
    </xf>
    <xf numFmtId="167" fontId="51" fillId="0" borderId="1" xfId="10" applyNumberFormat="1" applyFont="1" applyBorder="1" applyAlignment="1">
      <alignment horizontal="left" vertical="center"/>
    </xf>
    <xf numFmtId="49" fontId="51" fillId="0" borderId="10" xfId="16" applyNumberFormat="1" applyFont="1" applyBorder="1" applyAlignment="1">
      <alignment horizontal="left" vertical="center" wrapText="1"/>
    </xf>
    <xf numFmtId="167" fontId="51" fillId="0" borderId="10" xfId="10" applyNumberFormat="1" applyFont="1" applyBorder="1" applyAlignment="1">
      <alignment horizontal="left" vertical="center"/>
    </xf>
    <xf numFmtId="0" fontId="51" fillId="0" borderId="4" xfId="0" applyFont="1" applyBorder="1" applyAlignment="1">
      <alignment horizontal="left" vertical="center"/>
    </xf>
    <xf numFmtId="0" fontId="52" fillId="0" borderId="1" xfId="0" quotePrefix="1" applyFont="1" applyBorder="1" applyAlignment="1">
      <alignment horizontal="left" vertical="center"/>
    </xf>
    <xf numFmtId="0" fontId="51" fillId="0" borderId="10" xfId="0" applyFont="1" applyBorder="1" applyAlignment="1">
      <alignment horizontal="left" vertical="center"/>
    </xf>
    <xf numFmtId="167" fontId="51" fillId="0" borderId="0" xfId="0" applyNumberFormat="1" applyFont="1" applyAlignment="1">
      <alignment horizontal="left" vertical="center"/>
    </xf>
    <xf numFmtId="49" fontId="52" fillId="0" borderId="1" xfId="0" quotePrefix="1" applyNumberFormat="1" applyFont="1" applyBorder="1" applyAlignment="1">
      <alignment horizontal="left" vertical="center" wrapText="1"/>
    </xf>
    <xf numFmtId="49" fontId="52" fillId="0" borderId="1" xfId="0" applyNumberFormat="1" applyFont="1" applyBorder="1" applyAlignment="1">
      <alignment horizontal="left" vertical="center" wrapText="1"/>
    </xf>
    <xf numFmtId="0" fontId="51" fillId="0" borderId="1" xfId="0" quotePrefix="1" applyFont="1" applyBorder="1" applyAlignment="1">
      <alignment horizontal="left"/>
    </xf>
    <xf numFmtId="167" fontId="59" fillId="0" borderId="1" xfId="0" applyNumberFormat="1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 wrapText="1"/>
    </xf>
    <xf numFmtId="167" fontId="59" fillId="0" borderId="0" xfId="0" applyNumberFormat="1" applyFont="1" applyAlignment="1">
      <alignment horizontal="center" vertical="center" wrapText="1"/>
    </xf>
    <xf numFmtId="169" fontId="59" fillId="0" borderId="0" xfId="0" applyNumberFormat="1" applyFont="1" applyAlignment="1">
      <alignment horizontal="center" vertical="center" wrapText="1"/>
    </xf>
    <xf numFmtId="1" fontId="59" fillId="0" borderId="1" xfId="0" applyNumberFormat="1" applyFont="1" applyBorder="1" applyAlignment="1">
      <alignment horizontal="center" vertical="center" wrapText="1"/>
    </xf>
    <xf numFmtId="0" fontId="59" fillId="0" borderId="2" xfId="0" applyFont="1" applyBorder="1" applyAlignment="1">
      <alignment horizontal="left" vertical="center" wrapText="1"/>
    </xf>
    <xf numFmtId="49" fontId="51" fillId="0" borderId="2" xfId="16" applyNumberFormat="1" applyFont="1" applyBorder="1" applyAlignment="1">
      <alignment horizontal="left" vertical="center" wrapText="1"/>
    </xf>
    <xf numFmtId="167" fontId="51" fillId="0" borderId="2" xfId="10" applyNumberFormat="1" applyFont="1" applyBorder="1" applyAlignment="1">
      <alignment horizontal="left" vertical="center"/>
    </xf>
    <xf numFmtId="0" fontId="51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1" fillId="6" borderId="1" xfId="0" applyFont="1" applyFill="1" applyBorder="1" applyAlignment="1">
      <alignment horizontal="left" vertical="center" wrapText="1"/>
    </xf>
    <xf numFmtId="167" fontId="51" fillId="6" borderId="1" xfId="0" applyNumberFormat="1" applyFont="1" applyFill="1" applyBorder="1" applyAlignment="1">
      <alignment horizontal="left" vertical="center" wrapText="1"/>
    </xf>
    <xf numFmtId="0" fontId="51" fillId="6" borderId="0" xfId="0" applyFont="1" applyFill="1" applyAlignment="1">
      <alignment horizontal="left" vertical="center"/>
    </xf>
    <xf numFmtId="0" fontId="51" fillId="6" borderId="1" xfId="0" applyFont="1" applyFill="1" applyBorder="1" applyAlignment="1">
      <alignment horizontal="center" vertical="center"/>
    </xf>
    <xf numFmtId="0" fontId="50" fillId="13" borderId="1" xfId="0" applyFont="1" applyFill="1" applyBorder="1" applyAlignment="1">
      <alignment horizontal="center" vertical="center" wrapText="1"/>
    </xf>
    <xf numFmtId="0" fontId="51" fillId="0" borderId="0" xfId="0" applyFont="1" applyAlignment="1">
      <alignment horizontal="center" vertical="center" wrapText="1"/>
    </xf>
    <xf numFmtId="170" fontId="51" fillId="0" borderId="0" xfId="0" applyNumberFormat="1" applyFont="1" applyAlignment="1">
      <alignment horizontal="center"/>
    </xf>
    <xf numFmtId="0" fontId="51" fillId="6" borderId="0" xfId="0" applyFont="1" applyFill="1" applyAlignment="1">
      <alignment horizontal="left" vertical="center" wrapText="1"/>
    </xf>
    <xf numFmtId="0" fontId="51" fillId="6" borderId="4" xfId="9" applyFont="1" applyFill="1" applyBorder="1" applyAlignment="1">
      <alignment horizontal="left" vertical="center"/>
    </xf>
    <xf numFmtId="167" fontId="51" fillId="6" borderId="4" xfId="9" applyNumberFormat="1" applyFont="1" applyFill="1" applyBorder="1" applyAlignment="1">
      <alignment horizontal="left" vertical="center"/>
    </xf>
    <xf numFmtId="0" fontId="51" fillId="6" borderId="1" xfId="9" applyFont="1" applyFill="1" applyBorder="1" applyAlignment="1">
      <alignment horizontal="left" vertical="center"/>
    </xf>
    <xf numFmtId="167" fontId="51" fillId="6" borderId="1" xfId="9" applyNumberFormat="1" applyFont="1" applyFill="1" applyBorder="1" applyAlignment="1">
      <alignment horizontal="left" vertical="center"/>
    </xf>
    <xf numFmtId="0" fontId="51" fillId="6" borderId="3" xfId="9" applyFont="1" applyFill="1" applyBorder="1" applyAlignment="1">
      <alignment horizontal="left" vertical="center"/>
    </xf>
    <xf numFmtId="167" fontId="67" fillId="6" borderId="3" xfId="9" applyNumberFormat="1" applyFont="1" applyFill="1" applyBorder="1" applyAlignment="1">
      <alignment horizontal="left" vertical="center"/>
    </xf>
    <xf numFmtId="169" fontId="51" fillId="6" borderId="1" xfId="0" applyNumberFormat="1" applyFont="1" applyFill="1" applyBorder="1" applyAlignment="1">
      <alignment horizontal="left" vertical="center"/>
    </xf>
    <xf numFmtId="167" fontId="51" fillId="6" borderId="3" xfId="9" applyNumberFormat="1" applyFont="1" applyFill="1" applyBorder="1" applyAlignment="1">
      <alignment horizontal="left" vertical="center"/>
    </xf>
    <xf numFmtId="167" fontId="51" fillId="6" borderId="3" xfId="0" applyNumberFormat="1" applyFont="1" applyFill="1" applyBorder="1" applyAlignment="1">
      <alignment horizontal="left" vertical="center" wrapText="1"/>
    </xf>
    <xf numFmtId="0" fontId="54" fillId="6" borderId="4" xfId="0" applyFont="1" applyFill="1" applyBorder="1" applyAlignment="1">
      <alignment horizontal="left" vertical="center"/>
    </xf>
    <xf numFmtId="49" fontId="51" fillId="6" borderId="4" xfId="16" applyNumberFormat="1" applyFont="1" applyFill="1" applyBorder="1" applyAlignment="1">
      <alignment horizontal="left" vertical="center" wrapText="1"/>
    </xf>
    <xf numFmtId="167" fontId="51" fillId="6" borderId="4" xfId="10" applyNumberFormat="1" applyFont="1" applyFill="1" applyBorder="1" applyAlignment="1">
      <alignment horizontal="left" vertical="center"/>
    </xf>
    <xf numFmtId="0" fontId="51" fillId="6" borderId="4" xfId="0" applyFont="1" applyFill="1" applyBorder="1" applyAlignment="1">
      <alignment horizontal="left" vertical="center"/>
    </xf>
    <xf numFmtId="0" fontId="54" fillId="6" borderId="4" xfId="0" quotePrefix="1" applyFont="1" applyFill="1" applyBorder="1" applyAlignment="1">
      <alignment horizontal="left" vertical="center"/>
    </xf>
    <xf numFmtId="0" fontId="54" fillId="6" borderId="1" xfId="0" applyFont="1" applyFill="1" applyBorder="1" applyAlignment="1">
      <alignment horizontal="left" vertical="center"/>
    </xf>
    <xf numFmtId="0" fontId="54" fillId="6" borderId="1" xfId="0" quotePrefix="1" applyFont="1" applyFill="1" applyBorder="1" applyAlignment="1">
      <alignment horizontal="left" vertical="center"/>
    </xf>
    <xf numFmtId="0" fontId="52" fillId="6" borderId="1" xfId="0" applyFont="1" applyFill="1" applyBorder="1" applyAlignment="1">
      <alignment horizontal="left" vertical="center"/>
    </xf>
    <xf numFmtId="170" fontId="51" fillId="6" borderId="4" xfId="11" applyNumberFormat="1" applyFont="1" applyFill="1" applyBorder="1" applyAlignment="1">
      <alignment horizontal="center" vertical="center" wrapText="1"/>
    </xf>
    <xf numFmtId="170" fontId="51" fillId="6" borderId="1" xfId="11" applyNumberFormat="1" applyFont="1" applyFill="1" applyBorder="1" applyAlignment="1">
      <alignment horizontal="center" vertical="center" wrapText="1"/>
    </xf>
    <xf numFmtId="170" fontId="51" fillId="6" borderId="3" xfId="11" applyNumberFormat="1" applyFont="1" applyFill="1" applyBorder="1" applyAlignment="1">
      <alignment horizontal="center" vertical="center" wrapText="1"/>
    </xf>
    <xf numFmtId="0" fontId="51" fillId="6" borderId="10" xfId="0" applyFont="1" applyFill="1" applyBorder="1" applyAlignment="1">
      <alignment horizontal="center" vertical="center"/>
    </xf>
    <xf numFmtId="170" fontId="51" fillId="6" borderId="4" xfId="16" applyNumberFormat="1" applyFont="1" applyFill="1" applyBorder="1" applyAlignment="1">
      <alignment horizontal="center" vertical="center" wrapText="1"/>
    </xf>
    <xf numFmtId="170" fontId="51" fillId="0" borderId="1" xfId="16" applyNumberFormat="1" applyFont="1" applyBorder="1" applyAlignment="1">
      <alignment horizontal="center" vertical="center" wrapText="1"/>
    </xf>
    <xf numFmtId="170" fontId="51" fillId="0" borderId="10" xfId="16" applyNumberFormat="1" applyFont="1" applyBorder="1" applyAlignment="1">
      <alignment horizontal="center" vertical="center" wrapText="1"/>
    </xf>
    <xf numFmtId="170" fontId="51" fillId="0" borderId="4" xfId="16" applyNumberFormat="1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/>
    </xf>
    <xf numFmtId="0" fontId="51" fillId="0" borderId="8" xfId="0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/>
    </xf>
    <xf numFmtId="0" fontId="55" fillId="13" borderId="1" xfId="0" applyFont="1" applyFill="1" applyBorder="1" applyAlignment="1">
      <alignment horizontal="center" vertical="center" wrapText="1"/>
    </xf>
    <xf numFmtId="0" fontId="55" fillId="13" borderId="1" xfId="0" applyFont="1" applyFill="1" applyBorder="1" applyAlignment="1">
      <alignment horizontal="left" vertical="center" wrapText="1"/>
    </xf>
    <xf numFmtId="169" fontId="59" fillId="6" borderId="1" xfId="0" applyNumberFormat="1" applyFont="1" applyFill="1" applyBorder="1" applyAlignment="1">
      <alignment horizontal="center" vertical="center" wrapText="1"/>
    </xf>
    <xf numFmtId="167" fontId="59" fillId="6" borderId="1" xfId="0" applyNumberFormat="1" applyFont="1" applyFill="1" applyBorder="1" applyAlignment="1">
      <alignment horizontal="center" vertical="center" wrapText="1"/>
    </xf>
    <xf numFmtId="0" fontId="59" fillId="6" borderId="1" xfId="0" applyFont="1" applyFill="1" applyBorder="1" applyAlignment="1">
      <alignment horizontal="left" vertical="center" wrapText="1"/>
    </xf>
    <xf numFmtId="0" fontId="59" fillId="6" borderId="1" xfId="0" applyFont="1" applyFill="1" applyBorder="1" applyAlignment="1">
      <alignment horizontal="center" vertical="center" wrapText="1"/>
    </xf>
    <xf numFmtId="0" fontId="59" fillId="6" borderId="0" xfId="0" applyFont="1" applyFill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167" fontId="5" fillId="6" borderId="1" xfId="11" applyNumberFormat="1" applyFont="1" applyFill="1" applyBorder="1" applyAlignment="1">
      <alignment horizontal="center" vertical="center" wrapText="1"/>
    </xf>
    <xf numFmtId="0" fontId="8" fillId="6" borderId="0" xfId="0" applyFont="1" applyFill="1" applyAlignment="1">
      <alignment vertical="center"/>
    </xf>
    <xf numFmtId="0" fontId="14" fillId="13" borderId="1" xfId="0" applyFont="1" applyFill="1" applyBorder="1" applyAlignment="1">
      <alignment horizontal="center" vertical="center" wrapText="1"/>
    </xf>
    <xf numFmtId="167" fontId="13" fillId="13" borderId="1" xfId="0" applyNumberFormat="1" applyFont="1" applyFill="1" applyBorder="1" applyAlignment="1">
      <alignment horizontal="center" vertical="center" wrapText="1"/>
    </xf>
    <xf numFmtId="0" fontId="68" fillId="13" borderId="2" xfId="9" applyFont="1" applyFill="1" applyBorder="1" applyAlignment="1">
      <alignment horizontal="center" vertical="center"/>
    </xf>
    <xf numFmtId="167" fontId="68" fillId="13" borderId="2" xfId="9" applyNumberFormat="1" applyFont="1" applyFill="1" applyBorder="1" applyAlignment="1">
      <alignment horizontal="center" vertical="center"/>
    </xf>
    <xf numFmtId="0" fontId="56" fillId="13" borderId="2" xfId="0" applyFont="1" applyFill="1" applyBorder="1" applyAlignment="1">
      <alignment horizontal="center" vertical="center" wrapText="1"/>
    </xf>
    <xf numFmtId="0" fontId="56" fillId="13" borderId="4" xfId="0" applyFont="1" applyFill="1" applyBorder="1" applyAlignment="1">
      <alignment horizontal="center" vertical="center" wrapText="1"/>
    </xf>
    <xf numFmtId="167" fontId="50" fillId="13" borderId="1" xfId="0" applyNumberFormat="1" applyFont="1" applyFill="1" applyBorder="1" applyAlignment="1">
      <alignment horizontal="center" vertical="center" wrapText="1"/>
    </xf>
    <xf numFmtId="49" fontId="13" fillId="13" borderId="1" xfId="0" applyNumberFormat="1" applyFont="1" applyFill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 wrapText="1"/>
    </xf>
    <xf numFmtId="49" fontId="58" fillId="0" borderId="9" xfId="0" applyNumberFormat="1" applyFont="1" applyBorder="1" applyAlignment="1">
      <alignment horizontal="left" vertical="center" wrapText="1"/>
    </xf>
    <xf numFmtId="167" fontId="58" fillId="0" borderId="9" xfId="0" applyNumberFormat="1" applyFont="1" applyBorder="1" applyAlignment="1">
      <alignment horizontal="left" vertical="center" wrapText="1"/>
    </xf>
    <xf numFmtId="167" fontId="71" fillId="13" borderId="1" xfId="13" applyNumberFormat="1" applyFont="1" applyFill="1" applyBorder="1" applyAlignment="1">
      <alignment horizontal="center" vertical="center" wrapText="1"/>
    </xf>
    <xf numFmtId="167" fontId="72" fillId="0" borderId="1" xfId="13" applyNumberFormat="1" applyFont="1" applyBorder="1" applyAlignment="1">
      <alignment horizontal="left" vertical="center" wrapText="1"/>
    </xf>
    <xf numFmtId="167" fontId="72" fillId="0" borderId="1" xfId="13" applyNumberFormat="1" applyFont="1" applyBorder="1" applyAlignment="1">
      <alignment horizontal="left" vertical="center"/>
    </xf>
    <xf numFmtId="49" fontId="72" fillId="0" borderId="4" xfId="13" applyNumberFormat="1" applyFont="1" applyBorder="1" applyAlignment="1">
      <alignment horizontal="left" vertical="center"/>
    </xf>
    <xf numFmtId="49" fontId="72" fillId="0" borderId="1" xfId="13" applyNumberFormat="1" applyFont="1" applyBorder="1" applyAlignment="1">
      <alignment horizontal="left" vertical="center"/>
    </xf>
    <xf numFmtId="0" fontId="72" fillId="0" borderId="1" xfId="0" applyFont="1" applyBorder="1" applyAlignment="1">
      <alignment horizontal="left" vertical="center" wrapText="1"/>
    </xf>
    <xf numFmtId="0" fontId="72" fillId="0" borderId="1" xfId="0" applyFont="1" applyBorder="1" applyAlignment="1">
      <alignment horizontal="left" vertical="center"/>
    </xf>
    <xf numFmtId="49" fontId="72" fillId="0" borderId="1" xfId="0" applyNumberFormat="1" applyFont="1" applyBorder="1" applyAlignment="1">
      <alignment horizontal="left" vertical="center" wrapText="1"/>
    </xf>
    <xf numFmtId="0" fontId="72" fillId="0" borderId="1" xfId="0" applyFont="1" applyBorder="1" applyAlignment="1">
      <alignment horizontal="left"/>
    </xf>
    <xf numFmtId="174" fontId="72" fillId="0" borderId="1" xfId="0" applyNumberFormat="1" applyFont="1" applyBorder="1" applyAlignment="1">
      <alignment horizontal="left" vertical="center"/>
    </xf>
    <xf numFmtId="174" fontId="72" fillId="6" borderId="1" xfId="0" applyNumberFormat="1" applyFont="1" applyFill="1" applyBorder="1" applyAlignment="1">
      <alignment horizontal="left" vertical="center"/>
    </xf>
    <xf numFmtId="174" fontId="72" fillId="0" borderId="1" xfId="0" applyNumberFormat="1" applyFont="1" applyBorder="1" applyAlignment="1">
      <alignment horizontal="left"/>
    </xf>
    <xf numFmtId="0" fontId="72" fillId="0" borderId="0" xfId="0" applyFont="1" applyAlignment="1">
      <alignment horizontal="left"/>
    </xf>
    <xf numFmtId="167" fontId="72" fillId="0" borderId="1" xfId="0" applyNumberFormat="1" applyFont="1" applyBorder="1" applyAlignment="1">
      <alignment horizontal="left" vertical="center"/>
    </xf>
    <xf numFmtId="170" fontId="72" fillId="0" borderId="1" xfId="0" applyNumberFormat="1" applyFont="1" applyBorder="1" applyAlignment="1">
      <alignment horizontal="center" vertical="center" wrapText="1"/>
    </xf>
    <xf numFmtId="167" fontId="72" fillId="0" borderId="1" xfId="0" applyNumberFormat="1" applyFont="1" applyBorder="1" applyAlignment="1">
      <alignment horizontal="left" vertical="center" wrapText="1"/>
    </xf>
    <xf numFmtId="0" fontId="72" fillId="0" borderId="3" xfId="0" applyFont="1" applyBorder="1" applyAlignment="1">
      <alignment horizontal="left" vertical="center" wrapText="1"/>
    </xf>
    <xf numFmtId="0" fontId="72" fillId="0" borderId="4" xfId="0" applyFont="1" applyBorder="1" applyAlignment="1">
      <alignment horizontal="left" vertical="center" wrapText="1"/>
    </xf>
    <xf numFmtId="0" fontId="72" fillId="0" borderId="2" xfId="0" applyFont="1" applyBorder="1" applyAlignment="1">
      <alignment horizontal="left" vertical="center" wrapText="1"/>
    </xf>
    <xf numFmtId="169" fontId="72" fillId="0" borderId="1" xfId="0" applyNumberFormat="1" applyFont="1" applyBorder="1" applyAlignment="1">
      <alignment horizontal="left" vertical="center"/>
    </xf>
    <xf numFmtId="169" fontId="72" fillId="0" borderId="1" xfId="0" applyNumberFormat="1" applyFont="1" applyBorder="1" applyAlignment="1">
      <alignment horizontal="left" vertical="center" wrapText="1"/>
    </xf>
    <xf numFmtId="0" fontId="72" fillId="0" borderId="19" xfId="0" applyFont="1" applyBorder="1" applyAlignment="1">
      <alignment horizontal="left" vertical="center"/>
    </xf>
    <xf numFmtId="0" fontId="72" fillId="0" borderId="1" xfId="7" applyFont="1" applyBorder="1" applyAlignment="1">
      <alignment horizontal="left" vertical="center" wrapText="1"/>
    </xf>
    <xf numFmtId="49" fontId="7" fillId="6" borderId="1" xfId="0" applyNumberFormat="1" applyFont="1" applyFill="1" applyBorder="1" applyAlignment="1">
      <alignment vertical="center" wrapText="1"/>
    </xf>
    <xf numFmtId="0" fontId="76" fillId="0" borderId="2" xfId="0" applyFont="1" applyBorder="1" applyAlignment="1">
      <alignment horizontal="left" vertical="center" wrapText="1"/>
    </xf>
    <xf numFmtId="0" fontId="76" fillId="0" borderId="1" xfId="0" applyFont="1" applyBorder="1" applyAlignment="1">
      <alignment horizontal="center" vertical="center"/>
    </xf>
    <xf numFmtId="169" fontId="76" fillId="0" borderId="1" xfId="0" applyNumberFormat="1" applyFont="1" applyBorder="1" applyAlignment="1">
      <alignment horizontal="left" vertical="center"/>
    </xf>
    <xf numFmtId="49" fontId="76" fillId="0" borderId="1" xfId="0" applyNumberFormat="1" applyFont="1" applyBorder="1" applyAlignment="1">
      <alignment horizontal="left" vertical="center" wrapText="1"/>
    </xf>
    <xf numFmtId="0" fontId="76" fillId="0" borderId="3" xfId="0" applyFont="1" applyBorder="1" applyAlignment="1">
      <alignment horizontal="left" vertical="center" wrapText="1"/>
    </xf>
    <xf numFmtId="0" fontId="77" fillId="0" borderId="1" xfId="0" applyFont="1" applyBorder="1" applyAlignment="1">
      <alignment horizontal="left" vertical="center"/>
    </xf>
    <xf numFmtId="0" fontId="77" fillId="0" borderId="1" xfId="0" applyFont="1" applyBorder="1" applyAlignment="1">
      <alignment horizontal="center" vertical="center"/>
    </xf>
    <xf numFmtId="49" fontId="78" fillId="0" borderId="1" xfId="0" applyNumberFormat="1" applyFont="1" applyBorder="1" applyAlignment="1">
      <alignment horizontal="left" vertical="center" wrapText="1"/>
    </xf>
    <xf numFmtId="167" fontId="76" fillId="0" borderId="1" xfId="0" applyNumberFormat="1" applyFont="1" applyBorder="1" applyAlignment="1">
      <alignment horizontal="center" vertical="center"/>
    </xf>
    <xf numFmtId="167" fontId="76" fillId="0" borderId="1" xfId="0" applyNumberFormat="1" applyFont="1" applyBorder="1" applyAlignment="1">
      <alignment horizontal="left" vertical="center"/>
    </xf>
    <xf numFmtId="0" fontId="76" fillId="0" borderId="1" xfId="0" applyFont="1" applyBorder="1" applyAlignment="1">
      <alignment horizontal="center" vertical="center" wrapText="1"/>
    </xf>
    <xf numFmtId="169" fontId="76" fillId="0" borderId="1" xfId="0" applyNumberFormat="1" applyFont="1" applyBorder="1" applyAlignment="1">
      <alignment horizontal="left" vertical="center" wrapText="1"/>
    </xf>
    <xf numFmtId="173" fontId="76" fillId="0" borderId="1" xfId="0" applyNumberFormat="1" applyFont="1" applyBorder="1" applyAlignment="1">
      <alignment horizontal="left" vertical="center" wrapText="1"/>
    </xf>
    <xf numFmtId="0" fontId="76" fillId="0" borderId="1" xfId="0" applyFont="1" applyBorder="1" applyAlignment="1">
      <alignment horizontal="left" vertical="center" wrapText="1"/>
    </xf>
    <xf numFmtId="167" fontId="76" fillId="0" borderId="1" xfId="0" applyNumberFormat="1" applyFont="1" applyBorder="1" applyAlignment="1">
      <alignment horizontal="left" vertical="center" wrapText="1"/>
    </xf>
    <xf numFmtId="0" fontId="76" fillId="0" borderId="1" xfId="0" applyFont="1" applyBorder="1" applyAlignment="1">
      <alignment horizontal="left" vertical="center"/>
    </xf>
    <xf numFmtId="0" fontId="76" fillId="0" borderId="1" xfId="26" applyFont="1" applyBorder="1" applyAlignment="1">
      <alignment horizontal="center" vertical="center"/>
    </xf>
    <xf numFmtId="0" fontId="76" fillId="0" borderId="1" xfId="11" applyFont="1" applyBorder="1" applyAlignment="1">
      <alignment horizontal="left" vertical="center"/>
    </xf>
    <xf numFmtId="0" fontId="79" fillId="0" borderId="1" xfId="0" applyFont="1" applyBorder="1" applyAlignment="1">
      <alignment horizontal="left"/>
    </xf>
    <xf numFmtId="49" fontId="76" fillId="0" borderId="12" xfId="0" applyNumberFormat="1" applyFont="1" applyBorder="1" applyAlignment="1">
      <alignment horizontal="left" vertical="center" wrapText="1"/>
    </xf>
    <xf numFmtId="49" fontId="76" fillId="0" borderId="9" xfId="0" applyNumberFormat="1" applyFont="1" applyBorder="1" applyAlignment="1">
      <alignment horizontal="left" vertical="center" wrapText="1"/>
    </xf>
    <xf numFmtId="167" fontId="76" fillId="0" borderId="9" xfId="0" applyNumberFormat="1" applyFont="1" applyBorder="1" applyAlignment="1">
      <alignment horizontal="left" vertical="center" wrapText="1"/>
    </xf>
    <xf numFmtId="167" fontId="72" fillId="0" borderId="2" xfId="0" applyNumberFormat="1" applyFont="1" applyBorder="1" applyAlignment="1">
      <alignment horizontal="left" vertical="center" wrapText="1"/>
    </xf>
    <xf numFmtId="49" fontId="72" fillId="0" borderId="1" xfId="0" applyNumberFormat="1" applyFont="1" applyBorder="1" applyAlignment="1">
      <alignment horizontal="left" vertical="center"/>
    </xf>
    <xf numFmtId="169" fontId="73" fillId="0" borderId="1" xfId="0" applyNumberFormat="1" applyFont="1" applyBorder="1" applyAlignment="1">
      <alignment horizontal="left" vertical="center" wrapText="1"/>
    </xf>
    <xf numFmtId="172" fontId="72" fillId="0" borderId="1" xfId="0" applyNumberFormat="1" applyFont="1" applyBorder="1" applyAlignment="1">
      <alignment horizontal="left" vertical="center" wrapText="1"/>
    </xf>
    <xf numFmtId="167" fontId="72" fillId="0" borderId="3" xfId="0" applyNumberFormat="1" applyFont="1" applyBorder="1" applyAlignment="1">
      <alignment horizontal="left" vertical="center" wrapText="1"/>
    </xf>
    <xf numFmtId="0" fontId="72" fillId="0" borderId="0" xfId="0" applyFont="1" applyAlignment="1">
      <alignment horizontal="left" vertical="center" wrapText="1"/>
    </xf>
    <xf numFmtId="0" fontId="72" fillId="0" borderId="1" xfId="0" applyFont="1" applyBorder="1" applyAlignment="1">
      <alignment vertical="center" wrapText="1"/>
    </xf>
    <xf numFmtId="0" fontId="71" fillId="13" borderId="1" xfId="13" applyFont="1" applyFill="1" applyBorder="1" applyAlignment="1">
      <alignment horizontal="center" vertical="center" wrapText="1"/>
    </xf>
    <xf numFmtId="0" fontId="72" fillId="0" borderId="0" xfId="0" applyFont="1"/>
    <xf numFmtId="0" fontId="72" fillId="0" borderId="1" xfId="13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0" borderId="1" xfId="13" applyFont="1" applyBorder="1" applyAlignment="1">
      <alignment horizontal="center" vertical="center"/>
    </xf>
    <xf numFmtId="49" fontId="72" fillId="0" borderId="1" xfId="13" applyNumberFormat="1" applyFont="1" applyBorder="1" applyAlignment="1">
      <alignment horizontal="center" vertical="center"/>
    </xf>
    <xf numFmtId="0" fontId="72" fillId="6" borderId="1" xfId="0" applyFont="1" applyFill="1" applyBorder="1" applyAlignment="1">
      <alignment horizontal="center" vertical="center" wrapText="1"/>
    </xf>
    <xf numFmtId="167" fontId="72" fillId="6" borderId="1" xfId="13" applyNumberFormat="1" applyFont="1" applyFill="1" applyBorder="1" applyAlignment="1">
      <alignment horizontal="left" vertical="center"/>
    </xf>
    <xf numFmtId="49" fontId="72" fillId="0" borderId="1" xfId="0" applyNumberFormat="1" applyFont="1" applyBorder="1" applyAlignment="1">
      <alignment horizontal="center" vertical="center"/>
    </xf>
    <xf numFmtId="168" fontId="72" fillId="0" borderId="1" xfId="13" applyNumberFormat="1" applyFont="1" applyBorder="1" applyAlignment="1">
      <alignment horizontal="center" vertical="center" wrapText="1"/>
    </xf>
    <xf numFmtId="0" fontId="72" fillId="0" borderId="2" xfId="13" applyFont="1" applyBorder="1" applyAlignment="1">
      <alignment horizontal="left" vertical="center" wrapText="1"/>
    </xf>
    <xf numFmtId="0" fontId="72" fillId="6" borderId="4" xfId="0" applyFont="1" applyFill="1" applyBorder="1" applyAlignment="1">
      <alignment horizontal="center" vertical="center" wrapText="1"/>
    </xf>
    <xf numFmtId="169" fontId="72" fillId="6" borderId="4" xfId="0" applyNumberFormat="1" applyFont="1" applyFill="1" applyBorder="1" applyAlignment="1">
      <alignment horizontal="left" vertical="center" wrapText="1"/>
    </xf>
    <xf numFmtId="168" fontId="72" fillId="6" borderId="1" xfId="13" applyNumberFormat="1" applyFont="1" applyFill="1" applyBorder="1" applyAlignment="1">
      <alignment horizontal="center" vertical="center" wrapText="1"/>
    </xf>
    <xf numFmtId="169" fontId="72" fillId="6" borderId="1" xfId="0" applyNumberFormat="1" applyFont="1" applyFill="1" applyBorder="1" applyAlignment="1">
      <alignment horizontal="left" vertical="center" wrapText="1"/>
    </xf>
    <xf numFmtId="168" fontId="72" fillId="0" borderId="1" xfId="13" applyNumberFormat="1" applyFont="1" applyBorder="1" applyAlignment="1">
      <alignment horizontal="left" vertical="center" wrapText="1"/>
    </xf>
    <xf numFmtId="167" fontId="72" fillId="0" borderId="2" xfId="13" applyNumberFormat="1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167" fontId="72" fillId="6" borderId="1" xfId="13" applyNumberFormat="1" applyFont="1" applyFill="1" applyBorder="1" applyAlignment="1">
      <alignment horizontal="center" vertical="center"/>
    </xf>
    <xf numFmtId="0" fontId="72" fillId="0" borderId="1" xfId="14" applyFont="1" applyBorder="1" applyAlignment="1">
      <alignment horizontal="center" vertical="center"/>
    </xf>
    <xf numFmtId="49" fontId="72" fillId="0" borderId="1" xfId="13" applyNumberFormat="1" applyFont="1" applyBorder="1" applyAlignment="1">
      <alignment horizontal="center" vertical="center" wrapText="1"/>
    </xf>
    <xf numFmtId="49" fontId="72" fillId="6" borderId="1" xfId="13" applyNumberFormat="1" applyFont="1" applyFill="1" applyBorder="1" applyAlignment="1">
      <alignment horizontal="center" vertical="center"/>
    </xf>
    <xf numFmtId="49" fontId="72" fillId="6" borderId="1" xfId="0" applyNumberFormat="1" applyFont="1" applyFill="1" applyBorder="1" applyAlignment="1">
      <alignment horizontal="center" vertical="center"/>
    </xf>
    <xf numFmtId="49" fontId="72" fillId="6" borderId="1" xfId="0" applyNumberFormat="1" applyFont="1" applyFill="1" applyBorder="1" applyAlignment="1">
      <alignment horizontal="left" vertical="center"/>
    </xf>
    <xf numFmtId="174" fontId="72" fillId="0" borderId="1" xfId="0" applyNumberFormat="1" applyFont="1" applyBorder="1" applyAlignment="1">
      <alignment horizontal="center" vertical="center"/>
    </xf>
    <xf numFmtId="172" fontId="72" fillId="0" borderId="1" xfId="0" applyNumberFormat="1" applyFont="1" applyBorder="1" applyAlignment="1">
      <alignment horizontal="left" vertical="center"/>
    </xf>
    <xf numFmtId="0" fontId="72" fillId="0" borderId="1" xfId="0" quotePrefix="1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/>
    </xf>
    <xf numFmtId="0" fontId="72" fillId="0" borderId="1" xfId="0" applyFont="1" applyBorder="1" applyAlignment="1">
      <alignment vertical="center"/>
    </xf>
    <xf numFmtId="0" fontId="72" fillId="6" borderId="1" xfId="0" applyFont="1" applyFill="1" applyBorder="1" applyAlignment="1">
      <alignment horizontal="center" vertical="center"/>
    </xf>
    <xf numFmtId="0" fontId="72" fillId="6" borderId="1" xfId="0" applyFont="1" applyFill="1" applyBorder="1" applyAlignment="1">
      <alignment vertical="center"/>
    </xf>
    <xf numFmtId="0" fontId="72" fillId="6" borderId="0" xfId="0" applyFont="1" applyFill="1"/>
    <xf numFmtId="0" fontId="72" fillId="0" borderId="1" xfId="0" applyFont="1" applyBorder="1"/>
    <xf numFmtId="174" fontId="72" fillId="0" borderId="1" xfId="0" quotePrefix="1" applyNumberFormat="1" applyFont="1" applyBorder="1"/>
    <xf numFmtId="0" fontId="72" fillId="0" borderId="0" xfId="0" applyFont="1" applyAlignment="1">
      <alignment horizontal="center" vertical="center"/>
    </xf>
    <xf numFmtId="0" fontId="50" fillId="13" borderId="2" xfId="0" applyFont="1" applyFill="1" applyBorder="1" applyAlignment="1">
      <alignment horizontal="center" vertical="center"/>
    </xf>
    <xf numFmtId="167" fontId="50" fillId="13" borderId="2" xfId="0" applyNumberFormat="1" applyFont="1" applyFill="1" applyBorder="1" applyAlignment="1">
      <alignment horizontal="center" vertical="center"/>
    </xf>
    <xf numFmtId="0" fontId="50" fillId="13" borderId="2" xfId="0" applyFont="1" applyFill="1" applyBorder="1" applyAlignment="1">
      <alignment horizontal="center" vertical="center" wrapText="1"/>
    </xf>
    <xf numFmtId="170" fontId="50" fillId="13" borderId="2" xfId="0" applyNumberFormat="1" applyFont="1" applyFill="1" applyBorder="1" applyAlignment="1">
      <alignment horizontal="center" vertical="center" wrapText="1"/>
    </xf>
    <xf numFmtId="0" fontId="86" fillId="13" borderId="1" xfId="0" applyFont="1" applyFill="1" applyBorder="1" applyAlignment="1">
      <alignment vertical="center" wrapText="1"/>
    </xf>
    <xf numFmtId="0" fontId="86" fillId="13" borderId="1" xfId="0" applyFont="1" applyFill="1" applyBorder="1" applyAlignment="1">
      <alignment horizontal="center" vertical="center" wrapText="1"/>
    </xf>
    <xf numFmtId="0" fontId="87" fillId="0" borderId="0" xfId="0" applyFont="1" applyAlignment="1">
      <alignment vertical="center"/>
    </xf>
    <xf numFmtId="167" fontId="88" fillId="0" borderId="11" xfId="11" applyNumberFormat="1" applyFont="1" applyBorder="1" applyAlignment="1">
      <alignment horizontal="center" vertical="center" wrapText="1"/>
    </xf>
    <xf numFmtId="49" fontId="82" fillId="0" borderId="1" xfId="0" applyNumberFormat="1" applyFont="1" applyBorder="1" applyAlignment="1">
      <alignment horizontal="center" vertical="center" wrapText="1"/>
    </xf>
    <xf numFmtId="167" fontId="88" fillId="0" borderId="1" xfId="11" applyNumberFormat="1" applyFont="1" applyBorder="1" applyAlignment="1">
      <alignment horizontal="center" vertical="center" wrapText="1"/>
    </xf>
    <xf numFmtId="167" fontId="88" fillId="0" borderId="3" xfId="11" applyNumberFormat="1" applyFont="1" applyBorder="1" applyAlignment="1">
      <alignment horizontal="center" vertical="center" wrapText="1"/>
    </xf>
    <xf numFmtId="0" fontId="82" fillId="0" borderId="1" xfId="0" applyFont="1" applyBorder="1" applyAlignment="1">
      <alignment horizontal="center" vertical="center"/>
    </xf>
    <xf numFmtId="167" fontId="82" fillId="6" borderId="1" xfId="11" applyNumberFormat="1" applyFont="1" applyFill="1" applyBorder="1" applyAlignment="1">
      <alignment horizontal="center" vertical="center" wrapText="1"/>
    </xf>
    <xf numFmtId="0" fontId="82" fillId="6" borderId="1" xfId="11" applyFont="1" applyFill="1" applyBorder="1" applyAlignment="1">
      <alignment horizontal="center" vertical="center"/>
    </xf>
    <xf numFmtId="0" fontId="87" fillId="6" borderId="0" xfId="0" applyFont="1" applyFill="1" applyAlignment="1">
      <alignment vertical="center"/>
    </xf>
    <xf numFmtId="172" fontId="82" fillId="6" borderId="1" xfId="11" applyNumberFormat="1" applyFont="1" applyFill="1" applyBorder="1" applyAlignment="1">
      <alignment horizontal="center" vertical="center" wrapText="1"/>
    </xf>
    <xf numFmtId="169" fontId="82" fillId="6" borderId="1" xfId="11" applyNumberFormat="1" applyFont="1" applyFill="1" applyBorder="1" applyAlignment="1">
      <alignment horizontal="center" vertical="center" wrapText="1"/>
    </xf>
    <xf numFmtId="0" fontId="82" fillId="6" borderId="1" xfId="0" applyFont="1" applyFill="1" applyBorder="1" applyAlignment="1">
      <alignment horizontal="center" vertical="center" wrapText="1"/>
    </xf>
    <xf numFmtId="0" fontId="87" fillId="6" borderId="1" xfId="0" applyFont="1" applyFill="1" applyBorder="1" applyAlignment="1">
      <alignment vertical="center"/>
    </xf>
    <xf numFmtId="169" fontId="82" fillId="6" borderId="1" xfId="11" applyNumberFormat="1" applyFont="1" applyFill="1" applyBorder="1" applyAlignment="1">
      <alignment horizontal="left" vertical="center" wrapText="1"/>
    </xf>
    <xf numFmtId="0" fontId="87" fillId="0" borderId="0" xfId="0" applyFont="1" applyAlignment="1">
      <alignment horizontal="center"/>
    </xf>
    <xf numFmtId="173" fontId="82" fillId="0" borderId="0" xfId="0" applyNumberFormat="1" applyFont="1" applyAlignment="1">
      <alignment vertical="center" wrapText="1"/>
    </xf>
    <xf numFmtId="0" fontId="87" fillId="0" borderId="0" xfId="0" applyFont="1" applyAlignment="1">
      <alignment horizontal="center" vertical="center"/>
    </xf>
    <xf numFmtId="0" fontId="82" fillId="0" borderId="0" xfId="0" applyFont="1" applyAlignment="1">
      <alignment vertical="center" wrapText="1"/>
    </xf>
    <xf numFmtId="0" fontId="82" fillId="0" borderId="0" xfId="0" applyFont="1" applyAlignment="1">
      <alignment horizontal="center" vertical="center" wrapText="1"/>
    </xf>
    <xf numFmtId="173" fontId="82" fillId="0" borderId="0" xfId="0" applyNumberFormat="1" applyFont="1" applyAlignment="1">
      <alignment horizontal="left" vertical="center" wrapText="1"/>
    </xf>
    <xf numFmtId="167" fontId="58" fillId="0" borderId="12" xfId="0" applyNumberFormat="1" applyFont="1" applyBorder="1" applyAlignment="1">
      <alignment horizontal="left" vertical="center" wrapText="1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vertical="center" wrapText="1"/>
    </xf>
    <xf numFmtId="176" fontId="73" fillId="0" borderId="0" xfId="0" applyNumberFormat="1" applyFont="1" applyAlignment="1">
      <alignment horizontal="right"/>
    </xf>
    <xf numFmtId="0" fontId="73" fillId="0" borderId="1" xfId="0" applyFont="1" applyBorder="1" applyAlignment="1">
      <alignment horizontal="center"/>
    </xf>
    <xf numFmtId="0" fontId="73" fillId="14" borderId="1" xfId="0" applyFont="1" applyFill="1" applyBorder="1" applyAlignment="1">
      <alignment horizontal="center" vertical="center" wrapText="1"/>
    </xf>
    <xf numFmtId="176" fontId="73" fillId="0" borderId="1" xfId="0" applyNumberFormat="1" applyFont="1" applyBorder="1" applyAlignment="1">
      <alignment horizontal="right"/>
    </xf>
    <xf numFmtId="169" fontId="89" fillId="11" borderId="1" xfId="0" applyNumberFormat="1" applyFont="1" applyFill="1" applyBorder="1" applyAlignment="1">
      <alignment horizontal="center" vertical="center" wrapText="1"/>
    </xf>
    <xf numFmtId="176" fontId="73" fillId="0" borderId="1" xfId="0" applyNumberFormat="1" applyFont="1" applyBorder="1" applyAlignment="1">
      <alignment horizontal="center"/>
    </xf>
    <xf numFmtId="176" fontId="73" fillId="14" borderId="1" xfId="0" applyNumberFormat="1" applyFont="1" applyFill="1" applyBorder="1" applyAlignment="1">
      <alignment horizontal="center"/>
    </xf>
    <xf numFmtId="0" fontId="89" fillId="0" borderId="0" xfId="0" applyFont="1" applyAlignment="1">
      <alignment horizontal="center" vertical="center" wrapText="1"/>
    </xf>
    <xf numFmtId="0" fontId="73" fillId="0" borderId="0" xfId="0" applyFont="1" applyAlignment="1">
      <alignment horizontal="left" vertical="center"/>
    </xf>
    <xf numFmtId="176" fontId="73" fillId="0" borderId="1" xfId="0" applyNumberFormat="1" applyFont="1" applyBorder="1" applyAlignment="1">
      <alignment horizontal="center" vertical="center"/>
    </xf>
    <xf numFmtId="176" fontId="73" fillId="0" borderId="0" xfId="0" applyNumberFormat="1" applyFont="1" applyAlignment="1">
      <alignment horizontal="center" vertical="center"/>
    </xf>
    <xf numFmtId="0" fontId="73" fillId="0" borderId="1" xfId="0" applyFont="1" applyBorder="1" applyAlignment="1">
      <alignment horizontal="center" vertical="center"/>
    </xf>
    <xf numFmtId="0" fontId="7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2" fillId="14" borderId="1" xfId="0" applyFont="1" applyFill="1" applyBorder="1" applyAlignment="1">
      <alignment horizontal="left" vertical="center"/>
    </xf>
    <xf numFmtId="0" fontId="72" fillId="14" borderId="1" xfId="0" applyFont="1" applyFill="1" applyBorder="1" applyAlignment="1">
      <alignment horizontal="center" vertical="center"/>
    </xf>
    <xf numFmtId="0" fontId="72" fillId="14" borderId="1" xfId="13" applyFont="1" applyFill="1" applyBorder="1" applyAlignment="1">
      <alignment horizontal="center" vertical="center"/>
    </xf>
    <xf numFmtId="168" fontId="72" fillId="14" borderId="1" xfId="13" applyNumberFormat="1" applyFont="1" applyFill="1" applyBorder="1" applyAlignment="1">
      <alignment horizontal="center" vertical="center" wrapText="1"/>
    </xf>
    <xf numFmtId="167" fontId="72" fillId="14" borderId="1" xfId="13" applyNumberFormat="1" applyFont="1" applyFill="1" applyBorder="1" applyAlignment="1">
      <alignment horizontal="left" vertical="center" wrapText="1"/>
    </xf>
    <xf numFmtId="167" fontId="90" fillId="14" borderId="1" xfId="13" applyNumberFormat="1" applyFont="1" applyFill="1" applyBorder="1" applyAlignment="1">
      <alignment horizontal="left" vertical="center" wrapText="1"/>
    </xf>
    <xf numFmtId="168" fontId="90" fillId="14" borderId="1" xfId="13" applyNumberFormat="1" applyFont="1" applyFill="1" applyBorder="1" applyAlignment="1">
      <alignment horizontal="center" vertical="center" wrapText="1"/>
    </xf>
    <xf numFmtId="176" fontId="73" fillId="0" borderId="2" xfId="0" applyNumberFormat="1" applyFont="1" applyBorder="1" applyAlignment="1">
      <alignment horizontal="right"/>
    </xf>
    <xf numFmtId="176" fontId="73" fillId="0" borderId="4" xfId="0" applyNumberFormat="1" applyFont="1" applyBorder="1" applyAlignment="1">
      <alignment horizontal="right"/>
    </xf>
    <xf numFmtId="0" fontId="92" fillId="0" borderId="0" xfId="0" applyFont="1" applyAlignment="1">
      <alignment vertical="center"/>
    </xf>
    <xf numFmtId="0" fontId="93" fillId="0" borderId="1" xfId="0" applyFont="1" applyBorder="1" applyAlignment="1">
      <alignment horizontal="center"/>
    </xf>
    <xf numFmtId="0" fontId="93" fillId="0" borderId="0" xfId="0" applyFont="1" applyAlignment="1">
      <alignment horizontal="center"/>
    </xf>
    <xf numFmtId="0" fontId="93" fillId="14" borderId="1" xfId="0" applyFont="1" applyFill="1" applyBorder="1" applyAlignment="1">
      <alignment horizontal="center" vertical="center" wrapText="1"/>
    </xf>
    <xf numFmtId="0" fontId="93" fillId="0" borderId="0" xfId="0" applyFont="1" applyAlignment="1">
      <alignment horizontal="center" vertical="center" wrapText="1"/>
    </xf>
    <xf numFmtId="176" fontId="93" fillId="0" borderId="1" xfId="0" applyNumberFormat="1" applyFont="1" applyBorder="1" applyAlignment="1">
      <alignment horizontal="right"/>
    </xf>
    <xf numFmtId="176" fontId="93" fillId="0" borderId="0" xfId="0" applyNumberFormat="1" applyFont="1" applyAlignment="1">
      <alignment horizontal="right"/>
    </xf>
    <xf numFmtId="176" fontId="93" fillId="0" borderId="1" xfId="0" applyNumberFormat="1" applyFont="1" applyBorder="1" applyAlignment="1">
      <alignment horizontal="right" vertical="center"/>
    </xf>
    <xf numFmtId="178" fontId="93" fillId="0" borderId="1" xfId="0" applyNumberFormat="1" applyFont="1" applyBorder="1" applyAlignment="1">
      <alignment horizontal="right"/>
    </xf>
    <xf numFmtId="178" fontId="93" fillId="0" borderId="2" xfId="0" applyNumberFormat="1" applyFont="1" applyBorder="1" applyAlignment="1">
      <alignment horizontal="right"/>
    </xf>
    <xf numFmtId="178" fontId="93" fillId="0" borderId="4" xfId="0" applyNumberFormat="1" applyFont="1" applyBorder="1" applyAlignment="1">
      <alignment horizontal="right"/>
    </xf>
    <xf numFmtId="0" fontId="93" fillId="0" borderId="0" xfId="0" applyFont="1"/>
    <xf numFmtId="0" fontId="73" fillId="14" borderId="1" xfId="0" applyFont="1" applyFill="1" applyBorder="1" applyAlignment="1">
      <alignment horizontal="center" vertical="center"/>
    </xf>
    <xf numFmtId="176" fontId="73" fillId="14" borderId="1" xfId="0" applyNumberFormat="1" applyFont="1" applyFill="1" applyBorder="1" applyAlignment="1">
      <alignment horizontal="center" vertical="center"/>
    </xf>
    <xf numFmtId="0" fontId="93" fillId="14" borderId="0" xfId="0" applyFont="1" applyFill="1" applyAlignment="1">
      <alignment horizontal="center"/>
    </xf>
    <xf numFmtId="0" fontId="73" fillId="4" borderId="1" xfId="0" applyFont="1" applyFill="1" applyBorder="1" applyAlignment="1">
      <alignment horizontal="center" vertical="center" wrapText="1"/>
    </xf>
    <xf numFmtId="0" fontId="73" fillId="14" borderId="9" xfId="0" applyFont="1" applyFill="1" applyBorder="1" applyAlignment="1">
      <alignment horizontal="center"/>
    </xf>
    <xf numFmtId="0" fontId="93" fillId="14" borderId="9" xfId="0" applyFont="1" applyFill="1" applyBorder="1" applyAlignment="1">
      <alignment horizontal="center"/>
    </xf>
    <xf numFmtId="176" fontId="93" fillId="5" borderId="1" xfId="0" applyNumberFormat="1" applyFont="1" applyFill="1" applyBorder="1" applyAlignment="1">
      <alignment horizontal="right"/>
    </xf>
    <xf numFmtId="176" fontId="93" fillId="12" borderId="1" xfId="0" applyNumberFormat="1" applyFont="1" applyFill="1" applyBorder="1" applyAlignment="1">
      <alignment horizontal="right"/>
    </xf>
    <xf numFmtId="176" fontId="73" fillId="0" borderId="2" xfId="0" applyNumberFormat="1" applyFont="1" applyBorder="1" applyAlignment="1">
      <alignment horizontal="center" vertical="center"/>
    </xf>
    <xf numFmtId="176" fontId="73" fillId="0" borderId="4" xfId="0" applyNumberFormat="1" applyFont="1" applyBorder="1" applyAlignment="1">
      <alignment horizontal="center" vertical="center"/>
    </xf>
    <xf numFmtId="176" fontId="73" fillId="0" borderId="3" xfId="0" applyNumberFormat="1" applyFont="1" applyBorder="1" applyAlignment="1">
      <alignment horizontal="center" vertical="center"/>
    </xf>
    <xf numFmtId="0" fontId="72" fillId="14" borderId="1" xfId="0" applyFont="1" applyFill="1" applyBorder="1" applyAlignment="1">
      <alignment horizontal="left" vertical="center" wrapText="1"/>
    </xf>
    <xf numFmtId="176" fontId="93" fillId="14" borderId="1" xfId="0" applyNumberFormat="1" applyFont="1" applyFill="1" applyBorder="1"/>
    <xf numFmtId="176" fontId="93" fillId="4" borderId="1" xfId="0" applyNumberFormat="1" applyFont="1" applyFill="1" applyBorder="1"/>
    <xf numFmtId="176" fontId="73" fillId="14" borderId="1" xfId="0" applyNumberFormat="1" applyFont="1" applyFill="1" applyBorder="1"/>
    <xf numFmtId="167" fontId="5" fillId="0" borderId="1" xfId="0" applyNumberFormat="1" applyFont="1" applyBorder="1" applyAlignment="1">
      <alignment horizontal="center" vertical="center" wrapText="1"/>
    </xf>
    <xf numFmtId="0" fontId="55" fillId="11" borderId="0" xfId="0" applyFont="1" applyFill="1" applyAlignment="1">
      <alignment horizontal="right" vertical="center" wrapText="1"/>
    </xf>
    <xf numFmtId="169" fontId="89" fillId="11" borderId="0" xfId="0" applyNumberFormat="1" applyFont="1" applyFill="1" applyAlignment="1">
      <alignment horizontal="left" vertical="center" wrapText="1"/>
    </xf>
    <xf numFmtId="167" fontId="59" fillId="11" borderId="0" xfId="0" applyNumberFormat="1" applyFont="1" applyFill="1" applyAlignment="1">
      <alignment horizontal="center" vertical="center" wrapText="1"/>
    </xf>
    <xf numFmtId="0" fontId="59" fillId="11" borderId="0" xfId="0" applyFont="1" applyFill="1" applyAlignment="1">
      <alignment horizontal="left" vertical="center" wrapText="1"/>
    </xf>
    <xf numFmtId="0" fontId="59" fillId="11" borderId="0" xfId="0" applyFont="1" applyFill="1" applyAlignment="1">
      <alignment horizontal="center" vertical="center" wrapText="1"/>
    </xf>
    <xf numFmtId="177" fontId="59" fillId="11" borderId="0" xfId="0" applyNumberFormat="1" applyFont="1" applyFill="1" applyAlignment="1">
      <alignment horizontal="center" vertical="center" wrapText="1"/>
    </xf>
    <xf numFmtId="176" fontId="89" fillId="11" borderId="0" xfId="0" applyNumberFormat="1" applyFont="1" applyFill="1" applyAlignment="1">
      <alignment horizontal="center" vertical="center" wrapText="1"/>
    </xf>
    <xf numFmtId="176" fontId="73" fillId="11" borderId="1" xfId="0" applyNumberFormat="1" applyFont="1" applyFill="1" applyBorder="1" applyAlignment="1">
      <alignment horizontal="center"/>
    </xf>
    <xf numFmtId="176" fontId="93" fillId="14" borderId="1" xfId="0" applyNumberFormat="1" applyFont="1" applyFill="1" applyBorder="1" applyAlignment="1">
      <alignment horizontal="center" vertical="center"/>
    </xf>
    <xf numFmtId="167" fontId="72" fillId="14" borderId="1" xfId="0" applyNumberFormat="1" applyFont="1" applyFill="1" applyBorder="1" applyAlignment="1">
      <alignment horizontal="left" vertical="center" wrapText="1"/>
    </xf>
    <xf numFmtId="176" fontId="73" fillId="14" borderId="25" xfId="0" applyNumberFormat="1" applyFont="1" applyFill="1" applyBorder="1" applyAlignment="1">
      <alignment horizontal="center" vertical="center"/>
    </xf>
    <xf numFmtId="176" fontId="73" fillId="14" borderId="26" xfId="0" applyNumberFormat="1" applyFont="1" applyFill="1" applyBorder="1" applyAlignment="1">
      <alignment horizontal="center" vertical="center"/>
    </xf>
    <xf numFmtId="167" fontId="72" fillId="14" borderId="2" xfId="0" applyNumberFormat="1" applyFont="1" applyFill="1" applyBorder="1" applyAlignment="1">
      <alignment horizontal="left" vertical="center" wrapText="1"/>
    </xf>
    <xf numFmtId="167" fontId="73" fillId="14" borderId="1" xfId="0" applyNumberFormat="1" applyFont="1" applyFill="1" applyBorder="1" applyAlignment="1">
      <alignment horizontal="left" vertical="center" wrapText="1"/>
    </xf>
    <xf numFmtId="0" fontId="73" fillId="14" borderId="1" xfId="0" applyFont="1" applyFill="1" applyBorder="1" applyAlignment="1">
      <alignment horizontal="left" vertical="center" wrapText="1"/>
    </xf>
    <xf numFmtId="176" fontId="73" fillId="14" borderId="2" xfId="0" applyNumberFormat="1" applyFont="1" applyFill="1" applyBorder="1" applyAlignment="1">
      <alignment horizontal="center" vertical="center"/>
    </xf>
    <xf numFmtId="176" fontId="73" fillId="14" borderId="4" xfId="0" applyNumberFormat="1" applyFont="1" applyFill="1" applyBorder="1" applyAlignment="1">
      <alignment horizontal="center" vertical="center"/>
    </xf>
    <xf numFmtId="0" fontId="72" fillId="14" borderId="27" xfId="0" applyFont="1" applyFill="1" applyBorder="1" applyAlignment="1">
      <alignment horizontal="left" vertical="center" wrapText="1"/>
    </xf>
    <xf numFmtId="176" fontId="73" fillId="14" borderId="28" xfId="0" applyNumberFormat="1" applyFont="1" applyFill="1" applyBorder="1" applyAlignment="1">
      <alignment horizontal="center" vertical="center"/>
    </xf>
    <xf numFmtId="0" fontId="72" fillId="14" borderId="9" xfId="0" applyFont="1" applyFill="1" applyBorder="1" applyAlignment="1">
      <alignment horizontal="left" vertical="center" wrapText="1"/>
    </xf>
    <xf numFmtId="176" fontId="73" fillId="14" borderId="3" xfId="0" applyNumberFormat="1" applyFont="1" applyFill="1" applyBorder="1" applyAlignment="1">
      <alignment horizontal="center" vertical="center"/>
    </xf>
    <xf numFmtId="0" fontId="91" fillId="14" borderId="1" xfId="0" applyFont="1" applyFill="1" applyBorder="1" applyAlignment="1">
      <alignment horizontal="left" vertical="center" wrapText="1"/>
    </xf>
    <xf numFmtId="169" fontId="5" fillId="14" borderId="1" xfId="0" applyNumberFormat="1" applyFont="1" applyFill="1" applyBorder="1" applyAlignment="1">
      <alignment horizontal="center" vertical="center" wrapText="1"/>
    </xf>
    <xf numFmtId="176" fontId="73" fillId="14" borderId="0" xfId="0" applyNumberFormat="1" applyFont="1" applyFill="1" applyAlignment="1">
      <alignment horizontal="center" vertical="center"/>
    </xf>
    <xf numFmtId="169" fontId="9" fillId="16" borderId="1" xfId="0" applyNumberFormat="1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176" fontId="73" fillId="16" borderId="1" xfId="0" applyNumberFormat="1" applyFont="1" applyFill="1" applyBorder="1" applyAlignment="1">
      <alignment horizontal="center" vertical="center"/>
    </xf>
    <xf numFmtId="169" fontId="9" fillId="15" borderId="1" xfId="0" applyNumberFormat="1" applyFont="1" applyFill="1" applyBorder="1" applyAlignment="1">
      <alignment horizontal="center" vertical="center" wrapText="1"/>
    </xf>
    <xf numFmtId="0" fontId="9" fillId="15" borderId="1" xfId="0" applyFont="1" applyFill="1" applyBorder="1" applyAlignment="1">
      <alignment horizontal="center" vertical="center" wrapText="1"/>
    </xf>
    <xf numFmtId="176" fontId="73" fillId="15" borderId="1" xfId="0" applyNumberFormat="1" applyFont="1" applyFill="1" applyBorder="1" applyAlignment="1">
      <alignment horizontal="center" vertical="center"/>
    </xf>
    <xf numFmtId="176" fontId="73" fillId="14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49" fontId="5" fillId="14" borderId="1" xfId="0" applyNumberFormat="1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49" fontId="2" fillId="14" borderId="1" xfId="0" applyNumberFormat="1" applyFont="1" applyFill="1" applyBorder="1" applyAlignment="1">
      <alignment horizontal="center" vertical="center"/>
    </xf>
    <xf numFmtId="167" fontId="15" fillId="6" borderId="1" xfId="0" applyNumberFormat="1" applyFont="1" applyFill="1" applyBorder="1" applyAlignment="1">
      <alignment horizontal="center" vertical="center" wrapText="1"/>
    </xf>
    <xf numFmtId="49" fontId="15" fillId="6" borderId="1" xfId="0" applyNumberFormat="1" applyFont="1" applyFill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/>
    </xf>
    <xf numFmtId="49" fontId="5" fillId="6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67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167" fontId="5" fillId="6" borderId="1" xfId="0" applyNumberFormat="1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center" vertical="center" wrapText="1"/>
    </xf>
    <xf numFmtId="167" fontId="5" fillId="6" borderId="1" xfId="0" applyNumberFormat="1" applyFont="1" applyFill="1" applyBorder="1" applyAlignment="1">
      <alignment horizontal="center" vertical="center"/>
    </xf>
    <xf numFmtId="49" fontId="5" fillId="6" borderId="1" xfId="0" quotePrefix="1" applyNumberFormat="1" applyFont="1" applyFill="1" applyBorder="1" applyAlignment="1">
      <alignment horizontal="center" vertical="center"/>
    </xf>
    <xf numFmtId="176" fontId="8" fillId="0" borderId="0" xfId="0" applyNumberFormat="1" applyFont="1" applyAlignment="1">
      <alignment vertical="center"/>
    </xf>
    <xf numFmtId="176" fontId="72" fillId="0" borderId="0" xfId="0" applyNumberFormat="1" applyFont="1"/>
    <xf numFmtId="0" fontId="72" fillId="14" borderId="1" xfId="13" applyFont="1" applyFill="1" applyBorder="1" applyAlignment="1">
      <alignment horizontal="center" vertical="center" wrapText="1"/>
    </xf>
    <xf numFmtId="176" fontId="51" fillId="0" borderId="0" xfId="0" applyNumberFormat="1" applyFont="1" applyAlignment="1">
      <alignment horizontal="left" vertical="center"/>
    </xf>
    <xf numFmtId="0" fontId="54" fillId="14" borderId="1" xfId="0" applyFont="1" applyFill="1" applyBorder="1" applyAlignment="1">
      <alignment horizontal="left" vertical="center"/>
    </xf>
    <xf numFmtId="0" fontId="52" fillId="14" borderId="1" xfId="0" applyFont="1" applyFill="1" applyBorder="1" applyAlignment="1">
      <alignment horizontal="left" vertical="center"/>
    </xf>
    <xf numFmtId="0" fontId="51" fillId="14" borderId="1" xfId="0" applyFont="1" applyFill="1" applyBorder="1" applyAlignment="1">
      <alignment horizontal="center" vertical="center"/>
    </xf>
    <xf numFmtId="49" fontId="17" fillId="0" borderId="2" xfId="0" applyNumberFormat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17" fillId="0" borderId="20" xfId="0" applyFont="1" applyBorder="1" applyAlignment="1">
      <alignment horizontal="center" vertical="center" wrapText="1"/>
    </xf>
    <xf numFmtId="49" fontId="72" fillId="0" borderId="2" xfId="13" applyNumberFormat="1" applyFont="1" applyBorder="1" applyAlignment="1">
      <alignment horizontal="left" vertical="center" wrapText="1"/>
    </xf>
    <xf numFmtId="49" fontId="72" fillId="0" borderId="3" xfId="13" applyNumberFormat="1" applyFont="1" applyBorder="1" applyAlignment="1">
      <alignment horizontal="left" vertical="center"/>
    </xf>
    <xf numFmtId="49" fontId="72" fillId="0" borderId="4" xfId="13" applyNumberFormat="1" applyFont="1" applyBorder="1" applyAlignment="1">
      <alignment horizontal="left" vertical="center"/>
    </xf>
    <xf numFmtId="0" fontId="72" fillId="14" borderId="1" xfId="0" applyFont="1" applyFill="1" applyBorder="1" applyAlignment="1">
      <alignment horizontal="left" vertical="center" wrapText="1"/>
    </xf>
    <xf numFmtId="0" fontId="72" fillId="14" borderId="1" xfId="0" applyFont="1" applyFill="1" applyBorder="1" applyAlignment="1">
      <alignment horizontal="left" vertical="center"/>
    </xf>
    <xf numFmtId="167" fontId="72" fillId="14" borderId="1" xfId="13" applyNumberFormat="1" applyFont="1" applyFill="1" applyBorder="1" applyAlignment="1">
      <alignment horizontal="left" vertical="center" wrapText="1"/>
    </xf>
    <xf numFmtId="0" fontId="72" fillId="6" borderId="0" xfId="0" applyFont="1" applyFill="1" applyAlignment="1">
      <alignment horizontal="left" vertical="center" wrapText="1"/>
    </xf>
    <xf numFmtId="0" fontId="72" fillId="6" borderId="0" xfId="0" applyFont="1" applyFill="1" applyAlignment="1">
      <alignment horizontal="left" vertical="center"/>
    </xf>
    <xf numFmtId="167" fontId="72" fillId="14" borderId="2" xfId="13" applyNumberFormat="1" applyFont="1" applyFill="1" applyBorder="1" applyAlignment="1">
      <alignment horizontal="left" vertical="center" wrapText="1"/>
    </xf>
    <xf numFmtId="167" fontId="72" fillId="14" borderId="3" xfId="13" applyNumberFormat="1" applyFont="1" applyFill="1" applyBorder="1" applyAlignment="1">
      <alignment horizontal="left" vertical="center" wrapText="1"/>
    </xf>
    <xf numFmtId="167" fontId="72" fillId="14" borderId="4" xfId="13" applyNumberFormat="1" applyFont="1" applyFill="1" applyBorder="1" applyAlignment="1">
      <alignment horizontal="left" vertical="center" wrapText="1"/>
    </xf>
    <xf numFmtId="167" fontId="72" fillId="0" borderId="2" xfId="13" applyNumberFormat="1" applyFont="1" applyBorder="1" applyAlignment="1">
      <alignment horizontal="left" vertical="center" wrapText="1"/>
    </xf>
    <xf numFmtId="167" fontId="72" fillId="0" borderId="3" xfId="13" applyNumberFormat="1" applyFont="1" applyBorder="1" applyAlignment="1">
      <alignment horizontal="left" vertical="center" wrapText="1"/>
    </xf>
    <xf numFmtId="167" fontId="72" fillId="0" borderId="4" xfId="13" applyNumberFormat="1" applyFont="1" applyBorder="1" applyAlignment="1">
      <alignment horizontal="left" vertical="center" wrapText="1"/>
    </xf>
    <xf numFmtId="167" fontId="72" fillId="0" borderId="3" xfId="13" applyNumberFormat="1" applyFont="1" applyBorder="1" applyAlignment="1">
      <alignment horizontal="left" vertical="center"/>
    </xf>
    <xf numFmtId="167" fontId="72" fillId="0" borderId="4" xfId="13" applyNumberFormat="1" applyFont="1" applyBorder="1" applyAlignment="1">
      <alignment horizontal="left" vertical="center"/>
    </xf>
    <xf numFmtId="167" fontId="72" fillId="0" borderId="1" xfId="13" applyNumberFormat="1" applyFont="1" applyBorder="1" applyAlignment="1">
      <alignment horizontal="left" vertical="center" wrapText="1"/>
    </xf>
    <xf numFmtId="0" fontId="72" fillId="0" borderId="2" xfId="13" applyFont="1" applyBorder="1" applyAlignment="1">
      <alignment horizontal="center" vertical="center" wrapText="1"/>
    </xf>
    <xf numFmtId="0" fontId="72" fillId="0" borderId="3" xfId="13" applyFont="1" applyBorder="1" applyAlignment="1">
      <alignment horizontal="center" vertical="center" wrapText="1"/>
    </xf>
    <xf numFmtId="0" fontId="72" fillId="0" borderId="4" xfId="13" applyFont="1" applyBorder="1" applyAlignment="1">
      <alignment horizontal="center" vertical="center" wrapText="1"/>
    </xf>
    <xf numFmtId="0" fontId="72" fillId="0" borderId="1" xfId="13" applyFont="1" applyBorder="1" applyAlignment="1">
      <alignment horizontal="left" vertical="center" wrapText="1"/>
    </xf>
    <xf numFmtId="0" fontId="72" fillId="14" borderId="1" xfId="13" applyFont="1" applyFill="1" applyBorder="1" applyAlignment="1">
      <alignment horizontal="left" vertical="center" wrapText="1"/>
    </xf>
    <xf numFmtId="167" fontId="72" fillId="0" borderId="2" xfId="13" applyNumberFormat="1" applyFont="1" applyBorder="1" applyAlignment="1">
      <alignment horizontal="center" vertical="center" wrapText="1"/>
    </xf>
    <xf numFmtId="167" fontId="72" fillId="0" borderId="3" xfId="13" applyNumberFormat="1" applyFont="1" applyBorder="1" applyAlignment="1">
      <alignment horizontal="center" vertical="center" wrapText="1"/>
    </xf>
    <xf numFmtId="167" fontId="72" fillId="0" borderId="4" xfId="13" applyNumberFormat="1" applyFont="1" applyBorder="1" applyAlignment="1">
      <alignment horizontal="center" vertical="center" wrapText="1"/>
    </xf>
    <xf numFmtId="0" fontId="72" fillId="0" borderId="2" xfId="0" applyFont="1" applyBorder="1" applyAlignment="1">
      <alignment horizontal="center" vertical="center" wrapText="1"/>
    </xf>
    <xf numFmtId="0" fontId="72" fillId="0" borderId="3" xfId="0" applyFont="1" applyBorder="1" applyAlignment="1">
      <alignment horizontal="center" vertical="center" wrapText="1"/>
    </xf>
    <xf numFmtId="0" fontId="72" fillId="0" borderId="4" xfId="0" applyFont="1" applyBorder="1" applyAlignment="1">
      <alignment horizontal="center" vertical="center" wrapText="1"/>
    </xf>
    <xf numFmtId="167" fontId="72" fillId="0" borderId="1" xfId="13" applyNumberFormat="1" applyFont="1" applyBorder="1" applyAlignment="1">
      <alignment horizontal="center" vertical="center" wrapText="1"/>
    </xf>
    <xf numFmtId="167" fontId="72" fillId="0" borderId="1" xfId="13" applyNumberFormat="1" applyFont="1" applyBorder="1" applyAlignment="1">
      <alignment horizontal="left" vertical="center"/>
    </xf>
    <xf numFmtId="0" fontId="73" fillId="0" borderId="2" xfId="0" applyFont="1" applyBorder="1" applyAlignment="1">
      <alignment horizontal="center" vertical="center" wrapText="1"/>
    </xf>
    <xf numFmtId="0" fontId="73" fillId="0" borderId="3" xfId="0" applyFont="1" applyBorder="1" applyAlignment="1">
      <alignment horizontal="center" vertical="center" wrapText="1"/>
    </xf>
    <xf numFmtId="0" fontId="73" fillId="0" borderId="4" xfId="0" applyFont="1" applyBorder="1" applyAlignment="1">
      <alignment horizontal="center" vertical="center" wrapText="1"/>
    </xf>
    <xf numFmtId="0" fontId="73" fillId="14" borderId="2" xfId="0" applyFont="1" applyFill="1" applyBorder="1" applyAlignment="1">
      <alignment horizontal="center" vertical="center" wrapText="1"/>
    </xf>
    <xf numFmtId="0" fontId="73" fillId="14" borderId="3" xfId="0" applyFont="1" applyFill="1" applyBorder="1" applyAlignment="1">
      <alignment horizontal="center" vertical="center" wrapText="1"/>
    </xf>
    <xf numFmtId="0" fontId="73" fillId="14" borderId="4" xfId="0" applyFont="1" applyFill="1" applyBorder="1" applyAlignment="1">
      <alignment horizontal="center" vertical="center" wrapText="1"/>
    </xf>
    <xf numFmtId="167" fontId="73" fillId="0" borderId="2" xfId="13" applyNumberFormat="1" applyFont="1" applyBorder="1" applyAlignment="1">
      <alignment horizontal="center" vertical="center" wrapText="1"/>
    </xf>
    <xf numFmtId="167" fontId="73" fillId="0" borderId="3" xfId="13" applyNumberFormat="1" applyFont="1" applyBorder="1" applyAlignment="1">
      <alignment horizontal="center" vertical="center" wrapText="1"/>
    </xf>
    <xf numFmtId="167" fontId="73" fillId="0" borderId="4" xfId="13" applyNumberFormat="1" applyFont="1" applyBorder="1" applyAlignment="1">
      <alignment horizontal="center" vertical="center" wrapText="1"/>
    </xf>
    <xf numFmtId="49" fontId="72" fillId="6" borderId="2" xfId="0" applyNumberFormat="1" applyFont="1" applyFill="1" applyBorder="1" applyAlignment="1">
      <alignment horizontal="center" vertical="center" wrapText="1"/>
    </xf>
    <xf numFmtId="49" fontId="72" fillId="6" borderId="3" xfId="0" applyNumberFormat="1" applyFont="1" applyFill="1" applyBorder="1" applyAlignment="1">
      <alignment horizontal="center" vertical="center" wrapText="1"/>
    </xf>
    <xf numFmtId="49" fontId="72" fillId="6" borderId="4" xfId="0" applyNumberFormat="1" applyFont="1" applyFill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 wrapText="1"/>
    </xf>
    <xf numFmtId="0" fontId="72" fillId="0" borderId="1" xfId="0" applyFont="1" applyBorder="1" applyAlignment="1">
      <alignment horizontal="center" vertical="center"/>
    </xf>
    <xf numFmtId="0" fontId="72" fillId="0" borderId="2" xfId="0" applyFont="1" applyBorder="1" applyAlignment="1">
      <alignment horizontal="center" vertical="center"/>
    </xf>
    <xf numFmtId="0" fontId="72" fillId="0" borderId="3" xfId="0" applyFont="1" applyBorder="1" applyAlignment="1">
      <alignment horizontal="center" vertical="center"/>
    </xf>
    <xf numFmtId="0" fontId="72" fillId="0" borderId="4" xfId="0" applyFont="1" applyBorder="1" applyAlignment="1">
      <alignment horizontal="center" vertical="center"/>
    </xf>
    <xf numFmtId="0" fontId="72" fillId="0" borderId="2" xfId="13" applyFont="1" applyBorder="1" applyAlignment="1">
      <alignment horizontal="center" vertical="center"/>
    </xf>
    <xf numFmtId="0" fontId="72" fillId="0" borderId="3" xfId="13" applyFont="1" applyBorder="1" applyAlignment="1">
      <alignment horizontal="center" vertical="center"/>
    </xf>
    <xf numFmtId="0" fontId="72" fillId="0" borderId="4" xfId="13" applyFont="1" applyBorder="1" applyAlignment="1">
      <alignment horizontal="center" vertical="center"/>
    </xf>
    <xf numFmtId="0" fontId="72" fillId="14" borderId="1" xfId="13" applyFont="1" applyFill="1" applyBorder="1" applyAlignment="1">
      <alignment horizontal="center" vertical="center" wrapText="1"/>
    </xf>
    <xf numFmtId="0" fontId="72" fillId="14" borderId="2" xfId="13" applyFont="1" applyFill="1" applyBorder="1" applyAlignment="1">
      <alignment horizontal="center" vertical="center" wrapText="1"/>
    </xf>
    <xf numFmtId="0" fontId="72" fillId="14" borderId="3" xfId="13" applyFont="1" applyFill="1" applyBorder="1" applyAlignment="1">
      <alignment horizontal="center" vertical="center" wrapText="1"/>
    </xf>
    <xf numFmtId="0" fontId="72" fillId="14" borderId="4" xfId="13" applyFont="1" applyFill="1" applyBorder="1" applyAlignment="1">
      <alignment horizontal="center" vertical="center" wrapText="1"/>
    </xf>
    <xf numFmtId="0" fontId="72" fillId="0" borderId="1" xfId="13" applyFont="1" applyBorder="1" applyAlignment="1">
      <alignment horizontal="center" vertical="center" wrapText="1"/>
    </xf>
    <xf numFmtId="0" fontId="73" fillId="0" borderId="2" xfId="13" applyFont="1" applyBorder="1" applyAlignment="1">
      <alignment horizontal="center" vertical="center" wrapText="1"/>
    </xf>
    <xf numFmtId="0" fontId="73" fillId="0" borderId="3" xfId="13" applyFont="1" applyBorder="1" applyAlignment="1">
      <alignment horizontal="center" vertical="center" wrapText="1"/>
    </xf>
    <xf numFmtId="0" fontId="73" fillId="14" borderId="2" xfId="13" applyFont="1" applyFill="1" applyBorder="1" applyAlignment="1">
      <alignment horizontal="center" vertical="center" wrapText="1"/>
    </xf>
    <xf numFmtId="0" fontId="73" fillId="14" borderId="3" xfId="13" applyFont="1" applyFill="1" applyBorder="1" applyAlignment="1">
      <alignment horizontal="center" vertical="center" wrapText="1"/>
    </xf>
    <xf numFmtId="0" fontId="73" fillId="14" borderId="4" xfId="13" applyFont="1" applyFill="1" applyBorder="1" applyAlignment="1">
      <alignment horizontal="center" vertical="center" wrapText="1"/>
    </xf>
    <xf numFmtId="0" fontId="73" fillId="0" borderId="4" xfId="13" applyFont="1" applyBorder="1" applyAlignment="1">
      <alignment horizontal="center" vertical="center" wrapText="1"/>
    </xf>
    <xf numFmtId="0" fontId="72" fillId="0" borderId="1" xfId="13" applyFont="1" applyBorder="1" applyAlignment="1">
      <alignment horizontal="center" vertical="center"/>
    </xf>
    <xf numFmtId="0" fontId="72" fillId="14" borderId="1" xfId="13" applyFont="1" applyFill="1" applyBorder="1" applyAlignment="1">
      <alignment horizontal="center" vertical="center"/>
    </xf>
    <xf numFmtId="0" fontId="72" fillId="0" borderId="1" xfId="0" applyFont="1" applyBorder="1" applyAlignment="1">
      <alignment horizontal="left" vertical="center" wrapText="1"/>
    </xf>
    <xf numFmtId="169" fontId="72" fillId="0" borderId="1" xfId="0" applyNumberFormat="1" applyFont="1" applyBorder="1" applyAlignment="1">
      <alignment horizontal="left" vertical="center"/>
    </xf>
    <xf numFmtId="0" fontId="72" fillId="0" borderId="1" xfId="0" applyFont="1" applyBorder="1" applyAlignment="1">
      <alignment horizontal="left" vertical="top" wrapText="1"/>
    </xf>
    <xf numFmtId="0" fontId="51" fillId="0" borderId="2" xfId="0" applyFont="1" applyBorder="1" applyAlignment="1">
      <alignment horizontal="left" vertical="center" wrapText="1"/>
    </xf>
    <xf numFmtId="0" fontId="51" fillId="0" borderId="3" xfId="0" applyFont="1" applyBorder="1" applyAlignment="1">
      <alignment horizontal="left" vertical="center"/>
    </xf>
    <xf numFmtId="0" fontId="51" fillId="0" borderId="4" xfId="0" applyFont="1" applyBorder="1" applyAlignment="1">
      <alignment horizontal="left" vertical="center"/>
    </xf>
    <xf numFmtId="0" fontId="51" fillId="0" borderId="11" xfId="0" applyFont="1" applyBorder="1" applyAlignment="1">
      <alignment horizontal="left" vertical="center" wrapText="1"/>
    </xf>
    <xf numFmtId="0" fontId="74" fillId="14" borderId="1" xfId="0" applyFont="1" applyFill="1" applyBorder="1" applyAlignment="1">
      <alignment horizontal="left" vertical="center" wrapText="1"/>
    </xf>
    <xf numFmtId="0" fontId="74" fillId="0" borderId="1" xfId="0" applyFont="1" applyBorder="1" applyAlignment="1">
      <alignment horizontal="left" vertical="center" wrapText="1"/>
    </xf>
    <xf numFmtId="0" fontId="72" fillId="14" borderId="4" xfId="0" applyFont="1" applyFill="1" applyBorder="1" applyAlignment="1">
      <alignment horizontal="left" vertical="center" wrapText="1"/>
    </xf>
    <xf numFmtId="0" fontId="74" fillId="0" borderId="2" xfId="0" applyFont="1" applyBorder="1" applyAlignment="1">
      <alignment horizontal="left" vertical="center" wrapText="1"/>
    </xf>
    <xf numFmtId="0" fontId="74" fillId="0" borderId="3" xfId="0" applyFont="1" applyBorder="1" applyAlignment="1">
      <alignment horizontal="left" vertical="center" wrapText="1"/>
    </xf>
    <xf numFmtId="0" fontId="74" fillId="0" borderId="4" xfId="0" applyFont="1" applyBorder="1" applyAlignment="1">
      <alignment horizontal="left" vertical="center" wrapText="1"/>
    </xf>
    <xf numFmtId="49" fontId="51" fillId="6" borderId="3" xfId="11" applyNumberFormat="1" applyFont="1" applyFill="1" applyBorder="1" applyAlignment="1">
      <alignment horizontal="left" vertical="center" wrapText="1"/>
    </xf>
    <xf numFmtId="0" fontId="72" fillId="14" borderId="19" xfId="0" applyFont="1" applyFill="1" applyBorder="1" applyAlignment="1">
      <alignment horizontal="left" vertical="center" wrapText="1"/>
    </xf>
    <xf numFmtId="0" fontId="72" fillId="0" borderId="4" xfId="7" applyFont="1" applyBorder="1" applyAlignment="1">
      <alignment horizontal="left" vertical="center" wrapText="1"/>
    </xf>
    <xf numFmtId="0" fontId="72" fillId="0" borderId="1" xfId="7" applyFont="1" applyBorder="1" applyAlignment="1">
      <alignment horizontal="left" vertical="center" wrapText="1"/>
    </xf>
    <xf numFmtId="0" fontId="72" fillId="0" borderId="10" xfId="7" applyFont="1" applyBorder="1" applyAlignment="1">
      <alignment horizontal="left" vertical="center" wrapText="1"/>
    </xf>
    <xf numFmtId="0" fontId="72" fillId="0" borderId="2" xfId="7" applyFont="1" applyBorder="1" applyAlignment="1">
      <alignment horizontal="left" vertical="center" wrapText="1"/>
    </xf>
    <xf numFmtId="0" fontId="62" fillId="0" borderId="1" xfId="0" applyFont="1" applyBorder="1" applyAlignment="1">
      <alignment horizontal="center" vertical="center"/>
    </xf>
    <xf numFmtId="0" fontId="59" fillId="0" borderId="1" xfId="0" applyFont="1" applyBorder="1" applyAlignment="1">
      <alignment horizontal="center" vertical="center"/>
    </xf>
    <xf numFmtId="0" fontId="76" fillId="0" borderId="1" xfId="0" applyFont="1" applyBorder="1" applyAlignment="1">
      <alignment horizontal="center" vertical="center" wrapText="1"/>
    </xf>
    <xf numFmtId="0" fontId="59" fillId="0" borderId="1" xfId="0" applyFont="1" applyBorder="1" applyAlignment="1">
      <alignment horizontal="center" vertical="center" wrapText="1"/>
    </xf>
    <xf numFmtId="0" fontId="55" fillId="13" borderId="1" xfId="0" applyFont="1" applyFill="1" applyBorder="1" applyAlignment="1">
      <alignment horizontal="center" vertical="center" wrapText="1"/>
    </xf>
    <xf numFmtId="0" fontId="76" fillId="12" borderId="1" xfId="0" applyFont="1" applyFill="1" applyBorder="1" applyAlignment="1">
      <alignment horizontal="center" vertical="center" wrapText="1"/>
    </xf>
    <xf numFmtId="0" fontId="59" fillId="0" borderId="1" xfId="0" applyFont="1" applyBorder="1" applyAlignment="1">
      <alignment horizontal="left" vertical="center" wrapText="1"/>
    </xf>
    <xf numFmtId="0" fontId="59" fillId="12" borderId="1" xfId="0" applyFont="1" applyFill="1" applyBorder="1" applyAlignment="1">
      <alignment horizontal="left" vertical="center" wrapText="1"/>
    </xf>
    <xf numFmtId="0" fontId="66" fillId="0" borderId="0" xfId="0" applyFont="1" applyAlignment="1">
      <alignment horizontal="left" vertical="center" wrapText="1"/>
    </xf>
    <xf numFmtId="0" fontId="76" fillId="0" borderId="2" xfId="0" applyFont="1" applyBorder="1" applyAlignment="1">
      <alignment horizontal="center" vertical="center" wrapText="1"/>
    </xf>
    <xf numFmtId="0" fontId="76" fillId="0" borderId="3" xfId="0" applyFont="1" applyBorder="1" applyAlignment="1">
      <alignment horizontal="center" vertical="center" wrapText="1"/>
    </xf>
    <xf numFmtId="0" fontId="76" fillId="0" borderId="4" xfId="0" applyFont="1" applyBorder="1" applyAlignment="1">
      <alignment horizontal="center" vertical="center" wrapText="1"/>
    </xf>
    <xf numFmtId="0" fontId="76" fillId="6" borderId="2" xfId="0" applyFont="1" applyFill="1" applyBorder="1" applyAlignment="1">
      <alignment horizontal="center" vertical="center" wrapText="1"/>
    </xf>
    <xf numFmtId="0" fontId="76" fillId="6" borderId="3" xfId="0" applyFont="1" applyFill="1" applyBorder="1" applyAlignment="1">
      <alignment horizontal="center" vertical="center" wrapText="1"/>
    </xf>
    <xf numFmtId="0" fontId="76" fillId="6" borderId="4" xfId="0" applyFont="1" applyFill="1" applyBorder="1" applyAlignment="1">
      <alignment horizontal="center" vertical="center" wrapText="1"/>
    </xf>
    <xf numFmtId="0" fontId="76" fillId="9" borderId="3" xfId="0" applyFont="1" applyFill="1" applyBorder="1" applyAlignment="1">
      <alignment horizontal="center" vertical="center" wrapText="1"/>
    </xf>
    <xf numFmtId="0" fontId="85" fillId="0" borderId="1" xfId="0" applyFont="1" applyBorder="1" applyAlignment="1">
      <alignment horizontal="center" vertical="center" wrapText="1"/>
    </xf>
    <xf numFmtId="0" fontId="80" fillId="0" borderId="1" xfId="0" applyFont="1" applyBorder="1" applyAlignment="1">
      <alignment horizontal="center" vertical="center"/>
    </xf>
    <xf numFmtId="0" fontId="85" fillId="0" borderId="1" xfId="0" applyFont="1" applyBorder="1" applyAlignment="1">
      <alignment horizontal="center" vertical="center"/>
    </xf>
    <xf numFmtId="0" fontId="82" fillId="6" borderId="1" xfId="0" applyFont="1" applyFill="1" applyBorder="1" applyAlignment="1">
      <alignment horizontal="left" vertical="center" wrapText="1"/>
    </xf>
    <xf numFmtId="0" fontId="82" fillId="6" borderId="2" xfId="0" applyFont="1" applyFill="1" applyBorder="1" applyAlignment="1">
      <alignment horizontal="left" vertical="center" wrapText="1"/>
    </xf>
    <xf numFmtId="0" fontId="82" fillId="6" borderId="3" xfId="0" applyFont="1" applyFill="1" applyBorder="1" applyAlignment="1">
      <alignment horizontal="left" vertical="center" wrapText="1"/>
    </xf>
    <xf numFmtId="0" fontId="82" fillId="6" borderId="4" xfId="0" applyFont="1" applyFill="1" applyBorder="1" applyAlignment="1">
      <alignment horizontal="left" vertical="center" wrapText="1"/>
    </xf>
    <xf numFmtId="0" fontId="82" fillId="0" borderId="2" xfId="0" applyFont="1" applyBorder="1" applyAlignment="1">
      <alignment horizontal="center" vertical="center" wrapText="1"/>
    </xf>
    <xf numFmtId="0" fontId="82" fillId="0" borderId="3" xfId="0" applyFont="1" applyBorder="1" applyAlignment="1">
      <alignment horizontal="center" vertical="center" wrapText="1"/>
    </xf>
    <xf numFmtId="0" fontId="82" fillId="0" borderId="4" xfId="0" applyFont="1" applyBorder="1" applyAlignment="1">
      <alignment horizontal="center" vertical="center" wrapText="1"/>
    </xf>
    <xf numFmtId="0" fontId="86" fillId="0" borderId="2" xfId="0" applyFont="1" applyBorder="1" applyAlignment="1">
      <alignment horizontal="center" vertical="center" wrapText="1"/>
    </xf>
    <xf numFmtId="0" fontId="86" fillId="0" borderId="3" xfId="0" applyFont="1" applyBorder="1" applyAlignment="1">
      <alignment horizontal="center" vertical="center" wrapText="1"/>
    </xf>
    <xf numFmtId="0" fontId="86" fillId="0" borderId="4" xfId="0" applyFont="1" applyBorder="1" applyAlignment="1">
      <alignment horizontal="center" vertical="center" wrapText="1"/>
    </xf>
    <xf numFmtId="49" fontId="82" fillId="0" borderId="2" xfId="0" applyNumberFormat="1" applyFont="1" applyBorder="1" applyAlignment="1">
      <alignment horizontal="center" vertical="center" wrapText="1"/>
    </xf>
    <xf numFmtId="49" fontId="82" fillId="0" borderId="3" xfId="0" applyNumberFormat="1" applyFont="1" applyBorder="1" applyAlignment="1">
      <alignment horizontal="center" vertical="center" wrapText="1"/>
    </xf>
    <xf numFmtId="49" fontId="82" fillId="0" borderId="4" xfId="0" applyNumberFormat="1" applyFont="1" applyBorder="1" applyAlignment="1">
      <alignment horizontal="center" vertical="center" wrapText="1"/>
    </xf>
    <xf numFmtId="49" fontId="82" fillId="0" borderId="2" xfId="0" applyNumberFormat="1" applyFont="1" applyBorder="1" applyAlignment="1">
      <alignment horizontal="left" vertical="center" wrapText="1"/>
    </xf>
    <xf numFmtId="49" fontId="82" fillId="0" borderId="3" xfId="0" applyNumberFormat="1" applyFont="1" applyBorder="1" applyAlignment="1">
      <alignment horizontal="left" vertical="center" wrapText="1"/>
    </xf>
    <xf numFmtId="49" fontId="82" fillId="0" borderId="4" xfId="0" applyNumberFormat="1" applyFont="1" applyBorder="1" applyAlignment="1">
      <alignment horizontal="left" vertical="center" wrapText="1"/>
    </xf>
    <xf numFmtId="0" fontId="86" fillId="6" borderId="2" xfId="0" applyFont="1" applyFill="1" applyBorder="1" applyAlignment="1">
      <alignment horizontal="center" vertical="center"/>
    </xf>
    <xf numFmtId="0" fontId="86" fillId="6" borderId="3" xfId="0" applyFont="1" applyFill="1" applyBorder="1" applyAlignment="1">
      <alignment horizontal="center" vertical="center"/>
    </xf>
    <xf numFmtId="0" fontId="86" fillId="6" borderId="4" xfId="0" applyFont="1" applyFill="1" applyBorder="1" applyAlignment="1">
      <alignment horizontal="center" vertical="center"/>
    </xf>
    <xf numFmtId="0" fontId="86" fillId="6" borderId="2" xfId="11" applyFont="1" applyFill="1" applyBorder="1" applyAlignment="1">
      <alignment horizontal="center" vertical="center" wrapText="1"/>
    </xf>
    <xf numFmtId="0" fontId="86" fillId="6" borderId="3" xfId="11" applyFont="1" applyFill="1" applyBorder="1" applyAlignment="1">
      <alignment horizontal="center" vertical="center" wrapText="1"/>
    </xf>
    <xf numFmtId="0" fontId="86" fillId="6" borderId="4" xfId="11" applyFont="1" applyFill="1" applyBorder="1" applyAlignment="1">
      <alignment horizontal="center" vertical="center" wrapText="1"/>
    </xf>
    <xf numFmtId="173" fontId="82" fillId="6" borderId="2" xfId="0" applyNumberFormat="1" applyFont="1" applyFill="1" applyBorder="1" applyAlignment="1">
      <alignment horizontal="center" vertical="center" wrapText="1"/>
    </xf>
    <xf numFmtId="173" fontId="82" fillId="6" borderId="3" xfId="0" applyNumberFormat="1" applyFont="1" applyFill="1" applyBorder="1" applyAlignment="1">
      <alignment horizontal="center" vertical="center" wrapText="1"/>
    </xf>
    <xf numFmtId="173" fontId="82" fillId="6" borderId="4" xfId="0" applyNumberFormat="1" applyFont="1" applyFill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left" vertical="center" wrapText="1"/>
    </xf>
    <xf numFmtId="49" fontId="7" fillId="0" borderId="3" xfId="0" applyNumberFormat="1" applyFont="1" applyBorder="1" applyAlignment="1">
      <alignment horizontal="left" vertical="center" wrapText="1"/>
    </xf>
    <xf numFmtId="49" fontId="7" fillId="0" borderId="4" xfId="0" applyNumberFormat="1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49" fontId="51" fillId="0" borderId="12" xfId="0" applyNumberFormat="1" applyFont="1" applyBorder="1" applyAlignment="1">
      <alignment horizontal="left" vertical="center" wrapText="1"/>
    </xf>
    <xf numFmtId="49" fontId="51" fillId="0" borderId="5" xfId="0" applyNumberFormat="1" applyFont="1" applyBorder="1" applyAlignment="1">
      <alignment horizontal="left" vertical="center" wrapText="1"/>
    </xf>
    <xf numFmtId="49" fontId="51" fillId="0" borderId="13" xfId="0" applyNumberFormat="1" applyFont="1" applyBorder="1" applyAlignment="1">
      <alignment horizontal="left" vertical="center" wrapText="1"/>
    </xf>
    <xf numFmtId="0" fontId="69" fillId="13" borderId="2" xfId="0" applyFont="1" applyFill="1" applyBorder="1" applyAlignment="1">
      <alignment horizontal="center" vertical="center" wrapText="1"/>
    </xf>
    <xf numFmtId="0" fontId="69" fillId="13" borderId="4" xfId="0" applyFont="1" applyFill="1" applyBorder="1" applyAlignment="1">
      <alignment horizontal="center" vertical="center" wrapText="1"/>
    </xf>
    <xf numFmtId="49" fontId="58" fillId="0" borderId="12" xfId="0" applyNumberFormat="1" applyFont="1" applyBorder="1" applyAlignment="1">
      <alignment horizontal="left" vertical="center" wrapText="1"/>
    </xf>
    <xf numFmtId="49" fontId="58" fillId="0" borderId="5" xfId="0" applyNumberFormat="1" applyFont="1" applyBorder="1" applyAlignment="1">
      <alignment horizontal="left" vertical="center" wrapText="1"/>
    </xf>
    <xf numFmtId="49" fontId="58" fillId="0" borderId="13" xfId="0" applyNumberFormat="1" applyFont="1" applyBorder="1" applyAlignment="1">
      <alignment horizontal="left" vertical="center" wrapText="1"/>
    </xf>
    <xf numFmtId="0" fontId="50" fillId="0" borderId="2" xfId="0" applyFont="1" applyBorder="1" applyAlignment="1">
      <alignment horizontal="left" vertical="center" wrapText="1"/>
    </xf>
    <xf numFmtId="0" fontId="50" fillId="0" borderId="3" xfId="0" applyFont="1" applyBorder="1" applyAlignment="1">
      <alignment horizontal="left" vertical="center" wrapText="1"/>
    </xf>
    <xf numFmtId="0" fontId="50" fillId="0" borderId="4" xfId="0" applyFont="1" applyBorder="1" applyAlignment="1">
      <alignment horizontal="left" vertical="center" wrapText="1"/>
    </xf>
    <xf numFmtId="0" fontId="56" fillId="13" borderId="2" xfId="0" applyFont="1" applyFill="1" applyBorder="1" applyAlignment="1">
      <alignment horizontal="center" vertical="center" wrapText="1"/>
    </xf>
    <xf numFmtId="0" fontId="56" fillId="13" borderId="4" xfId="0" applyFont="1" applyFill="1" applyBorder="1" applyAlignment="1">
      <alignment horizontal="center" vertical="center" wrapText="1"/>
    </xf>
    <xf numFmtId="0" fontId="68" fillId="13" borderId="2" xfId="0" applyFont="1" applyFill="1" applyBorder="1" applyAlignment="1">
      <alignment horizontal="center" vertical="center" wrapText="1"/>
    </xf>
    <xf numFmtId="0" fontId="68" fillId="13" borderId="4" xfId="0" applyFont="1" applyFill="1" applyBorder="1" applyAlignment="1">
      <alignment horizontal="center" vertical="center" wrapText="1"/>
    </xf>
    <xf numFmtId="0" fontId="57" fillId="0" borderId="2" xfId="0" applyFont="1" applyBorder="1" applyAlignment="1">
      <alignment horizontal="left" vertical="center"/>
    </xf>
    <xf numFmtId="0" fontId="57" fillId="0" borderId="3" xfId="0" applyFont="1" applyBorder="1" applyAlignment="1">
      <alignment horizontal="left" vertical="center"/>
    </xf>
    <xf numFmtId="0" fontId="57" fillId="0" borderId="4" xfId="0" applyFont="1" applyBorder="1" applyAlignment="1">
      <alignment horizontal="left" vertical="center"/>
    </xf>
    <xf numFmtId="0" fontId="51" fillId="0" borderId="12" xfId="0" applyFont="1" applyBorder="1" applyAlignment="1">
      <alignment horizontal="left" vertical="center" wrapText="1"/>
    </xf>
    <xf numFmtId="0" fontId="51" fillId="0" borderId="5" xfId="0" applyFont="1" applyBorder="1" applyAlignment="1">
      <alignment horizontal="left" vertical="center" wrapText="1"/>
    </xf>
    <xf numFmtId="0" fontId="51" fillId="0" borderId="13" xfId="0" applyFont="1" applyBorder="1" applyAlignment="1">
      <alignment horizontal="left" vertical="center" wrapText="1"/>
    </xf>
    <xf numFmtId="0" fontId="76" fillId="0" borderId="12" xfId="0" applyFont="1" applyBorder="1" applyAlignment="1">
      <alignment horizontal="left" vertical="center" wrapText="1"/>
    </xf>
    <xf numFmtId="0" fontId="76" fillId="0" borderId="5" xfId="0" applyFont="1" applyBorder="1" applyAlignment="1">
      <alignment horizontal="left" vertical="center" wrapText="1"/>
    </xf>
    <xf numFmtId="0" fontId="76" fillId="0" borderId="13" xfId="0" applyFont="1" applyBorder="1" applyAlignment="1">
      <alignment horizontal="left" vertical="center" wrapText="1"/>
    </xf>
    <xf numFmtId="49" fontId="76" fillId="0" borderId="12" xfId="0" applyNumberFormat="1" applyFont="1" applyBorder="1" applyAlignment="1">
      <alignment horizontal="left" vertical="center" wrapText="1"/>
    </xf>
    <xf numFmtId="0" fontId="81" fillId="13" borderId="2" xfId="0" applyFont="1" applyFill="1" applyBorder="1" applyAlignment="1">
      <alignment horizontal="center" vertical="center" wrapText="1"/>
    </xf>
    <xf numFmtId="0" fontId="81" fillId="13" borderId="4" xfId="0" applyFont="1" applyFill="1" applyBorder="1" applyAlignment="1">
      <alignment horizontal="center" vertical="center" wrapText="1"/>
    </xf>
    <xf numFmtId="49" fontId="76" fillId="0" borderId="5" xfId="0" applyNumberFormat="1" applyFont="1" applyBorder="1" applyAlignment="1">
      <alignment horizontal="left" vertical="center" wrapText="1"/>
    </xf>
    <xf numFmtId="49" fontId="76" fillId="0" borderId="13" xfId="0" applyNumberFormat="1" applyFont="1" applyBorder="1" applyAlignment="1">
      <alignment horizontal="left" vertical="center" wrapText="1"/>
    </xf>
    <xf numFmtId="0" fontId="71" fillId="13" borderId="2" xfId="0" applyFont="1" applyFill="1" applyBorder="1" applyAlignment="1">
      <alignment horizontal="center" vertical="center" wrapText="1"/>
    </xf>
    <xf numFmtId="0" fontId="71" fillId="13" borderId="4" xfId="0" applyFont="1" applyFill="1" applyBorder="1" applyAlignment="1">
      <alignment horizontal="center" vertical="center" wrapText="1"/>
    </xf>
    <xf numFmtId="0" fontId="76" fillId="0" borderId="2" xfId="0" applyFont="1" applyBorder="1" applyAlignment="1">
      <alignment horizontal="left" vertical="center" wrapText="1"/>
    </xf>
    <xf numFmtId="0" fontId="76" fillId="0" borderId="3" xfId="0" applyFont="1" applyBorder="1" applyAlignment="1">
      <alignment horizontal="left" vertical="center" wrapText="1"/>
    </xf>
    <xf numFmtId="0" fontId="76" fillId="0" borderId="4" xfId="0" applyFont="1" applyBorder="1" applyAlignment="1">
      <alignment horizontal="left" vertical="center" wrapText="1"/>
    </xf>
    <xf numFmtId="169" fontId="71" fillId="13" borderId="2" xfId="0" applyNumberFormat="1" applyFont="1" applyFill="1" applyBorder="1" applyAlignment="1">
      <alignment horizontal="center" vertical="center" wrapText="1"/>
    </xf>
    <xf numFmtId="169" fontId="71" fillId="13" borderId="4" xfId="0" applyNumberFormat="1" applyFont="1" applyFill="1" applyBorder="1" applyAlignment="1">
      <alignment horizontal="center" vertical="center" wrapText="1"/>
    </xf>
    <xf numFmtId="0" fontId="77" fillId="0" borderId="2" xfId="0" applyFont="1" applyBorder="1" applyAlignment="1">
      <alignment horizontal="left" vertical="center" wrapText="1"/>
    </xf>
    <xf numFmtId="0" fontId="77" fillId="0" borderId="3" xfId="0" applyFont="1" applyBorder="1" applyAlignment="1">
      <alignment horizontal="left" vertical="center" wrapText="1"/>
    </xf>
    <xf numFmtId="0" fontId="77" fillId="0" borderId="4" xfId="0" applyFont="1" applyBorder="1" applyAlignment="1">
      <alignment horizontal="left" vertical="center" wrapText="1"/>
    </xf>
    <xf numFmtId="167" fontId="76" fillId="0" borderId="2" xfId="0" applyNumberFormat="1" applyFont="1" applyBorder="1" applyAlignment="1">
      <alignment horizontal="left" vertical="center" wrapText="1"/>
    </xf>
    <xf numFmtId="167" fontId="76" fillId="0" borderId="3" xfId="0" applyNumberFormat="1" applyFont="1" applyBorder="1" applyAlignment="1">
      <alignment horizontal="left" vertical="center" wrapText="1"/>
    </xf>
    <xf numFmtId="167" fontId="76" fillId="0" borderId="4" xfId="0" applyNumberFormat="1" applyFont="1" applyBorder="1" applyAlignment="1">
      <alignment horizontal="left" vertical="center" wrapText="1"/>
    </xf>
    <xf numFmtId="0" fontId="76" fillId="0" borderId="1" xfId="0" applyFont="1" applyBorder="1" applyAlignment="1">
      <alignment horizontal="left" vertical="center" wrapText="1"/>
    </xf>
    <xf numFmtId="0" fontId="72" fillId="0" borderId="2" xfId="0" applyFont="1" applyBorder="1" applyAlignment="1">
      <alignment horizontal="left" vertical="center" wrapText="1"/>
    </xf>
    <xf numFmtId="0" fontId="72" fillId="0" borderId="4" xfId="0" applyFont="1" applyBorder="1" applyAlignment="1">
      <alignment horizontal="left" vertical="center" wrapText="1"/>
    </xf>
    <xf numFmtId="0" fontId="72" fillId="14" borderId="2" xfId="0" applyFont="1" applyFill="1" applyBorder="1" applyAlignment="1">
      <alignment horizontal="left" vertical="center" wrapText="1"/>
    </xf>
    <xf numFmtId="0" fontId="72" fillId="14" borderId="13" xfId="0" applyFont="1" applyFill="1" applyBorder="1" applyAlignment="1">
      <alignment horizontal="left" vertical="center" wrapText="1"/>
    </xf>
    <xf numFmtId="0" fontId="72" fillId="0" borderId="3" xfId="0" applyFont="1" applyBorder="1" applyAlignment="1">
      <alignment horizontal="left" vertical="center" wrapText="1"/>
    </xf>
    <xf numFmtId="0" fontId="72" fillId="14" borderId="3" xfId="0" applyFont="1" applyFill="1" applyBorder="1" applyAlignment="1">
      <alignment horizontal="left" vertical="center" wrapText="1"/>
    </xf>
    <xf numFmtId="0" fontId="73" fillId="0" borderId="1" xfId="0" applyFont="1" applyBorder="1" applyAlignment="1">
      <alignment horizontal="left" vertical="center" wrapText="1"/>
    </xf>
    <xf numFmtId="167" fontId="91" fillId="5" borderId="2" xfId="0" applyNumberFormat="1" applyFont="1" applyFill="1" applyBorder="1" applyAlignment="1">
      <alignment horizontal="left" vertical="center" wrapText="1"/>
    </xf>
    <xf numFmtId="167" fontId="91" fillId="5" borderId="4" xfId="0" applyNumberFormat="1" applyFont="1" applyFill="1" applyBorder="1" applyAlignment="1">
      <alignment horizontal="left" vertical="center" wrapText="1"/>
    </xf>
    <xf numFmtId="167" fontId="72" fillId="14" borderId="2" xfId="0" applyNumberFormat="1" applyFont="1" applyFill="1" applyBorder="1" applyAlignment="1">
      <alignment horizontal="left" vertical="center" wrapText="1"/>
    </xf>
    <xf numFmtId="167" fontId="72" fillId="14" borderId="4" xfId="0" applyNumberFormat="1" applyFont="1" applyFill="1" applyBorder="1" applyAlignment="1">
      <alignment horizontal="left" vertical="center" wrapText="1"/>
    </xf>
    <xf numFmtId="167" fontId="72" fillId="0" borderId="2" xfId="0" applyNumberFormat="1" applyFont="1" applyBorder="1" applyAlignment="1">
      <alignment horizontal="left" vertical="center" wrapText="1"/>
    </xf>
    <xf numFmtId="167" fontId="72" fillId="0" borderId="3" xfId="0" applyNumberFormat="1" applyFont="1" applyBorder="1" applyAlignment="1">
      <alignment horizontal="left" vertical="center" wrapText="1"/>
    </xf>
    <xf numFmtId="167" fontId="72" fillId="0" borderId="4" xfId="0" applyNumberFormat="1" applyFont="1" applyBorder="1" applyAlignment="1">
      <alignment horizontal="left" vertical="center" wrapText="1"/>
    </xf>
    <xf numFmtId="0" fontId="83" fillId="0" borderId="12" xfId="0" applyFont="1" applyBorder="1" applyAlignment="1">
      <alignment horizontal="center" vertical="center" wrapText="1"/>
    </xf>
    <xf numFmtId="0" fontId="83" fillId="0" borderId="14" xfId="0" applyFont="1" applyBorder="1" applyAlignment="1">
      <alignment horizontal="center" vertical="center" wrapText="1"/>
    </xf>
    <xf numFmtId="0" fontId="83" fillId="0" borderId="5" xfId="0" applyFont="1" applyBorder="1" applyAlignment="1">
      <alignment horizontal="center" vertical="center" wrapText="1"/>
    </xf>
    <xf numFmtId="0" fontId="83" fillId="0" borderId="16" xfId="0" applyFont="1" applyBorder="1" applyAlignment="1">
      <alignment horizontal="center" vertical="center" wrapText="1"/>
    </xf>
    <xf numFmtId="0" fontId="83" fillId="0" borderId="13" xfId="0" applyFont="1" applyBorder="1" applyAlignment="1">
      <alignment horizontal="center" vertical="center" wrapText="1"/>
    </xf>
    <xf numFmtId="0" fontId="83" fillId="0" borderId="1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 wrapText="1"/>
    </xf>
    <xf numFmtId="0" fontId="5" fillId="14" borderId="3" xfId="0" applyFont="1" applyFill="1" applyBorder="1" applyAlignment="1">
      <alignment horizontal="center" vertical="center" wrapText="1"/>
    </xf>
    <xf numFmtId="0" fontId="5" fillId="14" borderId="4" xfId="0" applyFont="1" applyFill="1" applyBorder="1" applyAlignment="1">
      <alignment horizontal="center" vertical="center" wrapText="1"/>
    </xf>
    <xf numFmtId="167" fontId="5" fillId="0" borderId="1" xfId="0" applyNumberFormat="1" applyFont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4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7" fontId="15" fillId="0" borderId="1" xfId="0" applyNumberFormat="1" applyFont="1" applyBorder="1" applyAlignment="1">
      <alignment horizontal="center" vertical="center" wrapText="1"/>
    </xf>
    <xf numFmtId="0" fontId="5" fillId="14" borderId="6" xfId="0" applyFont="1" applyFill="1" applyBorder="1" applyAlignment="1">
      <alignment horizontal="center" vertical="center" wrapText="1"/>
    </xf>
    <xf numFmtId="0" fontId="5" fillId="14" borderId="0" xfId="0" applyFont="1" applyFill="1" applyAlignment="1">
      <alignment horizontal="center" vertical="center" wrapText="1"/>
    </xf>
    <xf numFmtId="0" fontId="5" fillId="14" borderId="7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16" borderId="2" xfId="0" applyFont="1" applyFill="1" applyBorder="1" applyAlignment="1">
      <alignment horizontal="center" vertical="center" wrapText="1"/>
    </xf>
    <xf numFmtId="0" fontId="10" fillId="16" borderId="3" xfId="0" applyFont="1" applyFill="1" applyBorder="1" applyAlignment="1">
      <alignment horizontal="center" vertical="center" wrapText="1"/>
    </xf>
    <xf numFmtId="0" fontId="10" fillId="16" borderId="4" xfId="0" applyFont="1" applyFill="1" applyBorder="1" applyAlignment="1">
      <alignment horizontal="center" vertical="center" wrapText="1"/>
    </xf>
    <xf numFmtId="0" fontId="10" fillId="15" borderId="2" xfId="0" applyFont="1" applyFill="1" applyBorder="1" applyAlignment="1">
      <alignment horizontal="center" vertical="center" wrapText="1"/>
    </xf>
    <xf numFmtId="0" fontId="10" fillId="15" borderId="3" xfId="0" applyFont="1" applyFill="1" applyBorder="1" applyAlignment="1">
      <alignment horizontal="center" vertical="center" wrapText="1"/>
    </xf>
    <xf numFmtId="0" fontId="10" fillId="15" borderId="4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left" vertical="center" wrapText="1"/>
    </xf>
    <xf numFmtId="0" fontId="9" fillId="16" borderId="3" xfId="0" applyFont="1" applyFill="1" applyBorder="1" applyAlignment="1">
      <alignment horizontal="left" vertical="center" wrapText="1"/>
    </xf>
    <xf numFmtId="0" fontId="9" fillId="16" borderId="4" xfId="0" applyFont="1" applyFill="1" applyBorder="1" applyAlignment="1">
      <alignment horizontal="left" vertical="center" wrapText="1"/>
    </xf>
    <xf numFmtId="0" fontId="9" fillId="15" borderId="2" xfId="0" applyFont="1" applyFill="1" applyBorder="1" applyAlignment="1">
      <alignment horizontal="left" vertical="center" wrapText="1"/>
    </xf>
    <xf numFmtId="0" fontId="9" fillId="15" borderId="3" xfId="0" applyFont="1" applyFill="1" applyBorder="1" applyAlignment="1">
      <alignment horizontal="left" vertical="center" wrapText="1"/>
    </xf>
    <xf numFmtId="0" fontId="9" fillId="15" borderId="4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2" fillId="0" borderId="1" xfId="13" applyFont="1" applyBorder="1" applyAlignment="1">
      <alignment horizontal="left" vertical="center" wrapText="1"/>
    </xf>
    <xf numFmtId="167" fontId="2" fillId="0" borderId="2" xfId="13" applyNumberFormat="1" applyFont="1" applyBorder="1" applyAlignment="1">
      <alignment horizontal="left" vertical="center" wrapText="1"/>
    </xf>
    <xf numFmtId="167" fontId="2" fillId="0" borderId="3" xfId="13" applyNumberFormat="1" applyFont="1" applyBorder="1" applyAlignment="1">
      <alignment horizontal="left" vertical="center" wrapText="1"/>
    </xf>
    <xf numFmtId="167" fontId="2" fillId="0" borderId="4" xfId="13" applyNumberFormat="1" applyFont="1" applyBorder="1" applyAlignment="1">
      <alignment horizontal="left" vertical="center" wrapText="1"/>
    </xf>
    <xf numFmtId="167" fontId="2" fillId="0" borderId="2" xfId="13" applyNumberFormat="1" applyFont="1" applyBorder="1" applyAlignment="1">
      <alignment horizontal="center" vertical="center" wrapText="1"/>
    </xf>
    <xf numFmtId="167" fontId="2" fillId="0" borderId="3" xfId="13" applyNumberFormat="1" applyFont="1" applyBorder="1" applyAlignment="1">
      <alignment horizontal="center" vertical="center" wrapText="1"/>
    </xf>
    <xf numFmtId="167" fontId="2" fillId="0" borderId="3" xfId="13" applyNumberFormat="1" applyFont="1" applyBorder="1" applyAlignment="1">
      <alignment horizontal="center" vertical="center"/>
    </xf>
    <xf numFmtId="167" fontId="2" fillId="0" borderId="4" xfId="13" applyNumberFormat="1" applyFont="1" applyBorder="1" applyAlignment="1">
      <alignment horizontal="center" vertical="center"/>
    </xf>
    <xf numFmtId="167" fontId="2" fillId="0" borderId="1" xfId="13" applyNumberFormat="1" applyFont="1" applyBorder="1" applyAlignment="1">
      <alignment horizontal="left" vertical="center" wrapText="1"/>
    </xf>
    <xf numFmtId="167" fontId="2" fillId="0" borderId="1" xfId="13" applyNumberFormat="1" applyFont="1" applyBorder="1" applyAlignment="1">
      <alignment horizontal="left" vertical="center"/>
    </xf>
    <xf numFmtId="167" fontId="4" fillId="0" borderId="2" xfId="13" applyNumberFormat="1" applyFont="1" applyBorder="1" applyAlignment="1">
      <alignment horizontal="left" vertical="center" wrapText="1"/>
    </xf>
    <xf numFmtId="167" fontId="4" fillId="0" borderId="3" xfId="13" applyNumberFormat="1" applyFont="1" applyBorder="1" applyAlignment="1">
      <alignment horizontal="left" vertical="center"/>
    </xf>
    <xf numFmtId="167" fontId="4" fillId="0" borderId="4" xfId="13" applyNumberFormat="1" applyFont="1" applyBorder="1" applyAlignment="1">
      <alignment horizontal="left" vertical="center"/>
    </xf>
    <xf numFmtId="167" fontId="4" fillId="0" borderId="3" xfId="13" applyNumberFormat="1" applyFont="1" applyBorder="1" applyAlignment="1">
      <alignment horizontal="left" vertical="center" wrapText="1"/>
    </xf>
    <xf numFmtId="167" fontId="4" fillId="0" borderId="4" xfId="13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13" applyFont="1" applyBorder="1" applyAlignment="1">
      <alignment horizontal="center" vertical="center" wrapText="1"/>
    </xf>
    <xf numFmtId="0" fontId="2" fillId="0" borderId="3" xfId="13" applyFont="1" applyBorder="1" applyAlignment="1">
      <alignment horizontal="center" vertical="center" wrapText="1"/>
    </xf>
    <xf numFmtId="0" fontId="2" fillId="0" borderId="4" xfId="13" applyFont="1" applyBorder="1" applyAlignment="1">
      <alignment horizontal="center" vertical="center" wrapText="1"/>
    </xf>
    <xf numFmtId="0" fontId="5" fillId="0" borderId="1" xfId="13" applyFont="1" applyBorder="1" applyAlignment="1">
      <alignment horizontal="left" vertical="center" wrapText="1"/>
    </xf>
    <xf numFmtId="0" fontId="6" fillId="0" borderId="1" xfId="13" applyFont="1" applyBorder="1" applyAlignment="1">
      <alignment horizontal="left" vertical="center" wrapText="1"/>
    </xf>
    <xf numFmtId="49" fontId="5" fillId="6" borderId="1" xfId="0" applyNumberFormat="1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0" borderId="1" xfId="13" applyFont="1" applyBorder="1" applyAlignment="1">
      <alignment horizontal="left" vertical="center"/>
    </xf>
    <xf numFmtId="0" fontId="2" fillId="5" borderId="1" xfId="13" applyFont="1" applyFill="1" applyBorder="1" applyAlignment="1">
      <alignment horizontal="left" vertical="center" wrapText="1"/>
    </xf>
    <xf numFmtId="0" fontId="2" fillId="5" borderId="1" xfId="13" applyFont="1" applyFill="1" applyBorder="1" applyAlignment="1">
      <alignment horizontal="left" vertical="center"/>
    </xf>
    <xf numFmtId="0" fontId="2" fillId="0" borderId="2" xfId="13" applyFont="1" applyBorder="1" applyAlignment="1">
      <alignment horizontal="center" vertical="center"/>
    </xf>
    <xf numFmtId="0" fontId="2" fillId="0" borderId="3" xfId="13" applyFont="1" applyBorder="1" applyAlignment="1">
      <alignment horizontal="center" vertical="center"/>
    </xf>
    <xf numFmtId="0" fontId="2" fillId="0" borderId="4" xfId="13" applyFont="1" applyBorder="1" applyAlignment="1">
      <alignment horizontal="center" vertical="center"/>
    </xf>
    <xf numFmtId="176" fontId="87" fillId="0" borderId="0" xfId="0" applyNumberFormat="1" applyFont="1" applyAlignment="1">
      <alignment vertical="center"/>
    </xf>
    <xf numFmtId="176" fontId="87" fillId="6" borderId="0" xfId="0" applyNumberFormat="1" applyFont="1" applyFill="1" applyAlignment="1">
      <alignment vertical="center"/>
    </xf>
    <xf numFmtId="176" fontId="59" fillId="0" borderId="0" xfId="0" applyNumberFormat="1" applyFont="1" applyAlignment="1">
      <alignment horizontal="left" vertical="center"/>
    </xf>
  </cellXfs>
  <cellStyles count="28">
    <cellStyle name="_x0007_" xfId="1" xr:uid="{00000000-0005-0000-0000-000000000000}"/>
    <cellStyle name="_副本事业部07财年投资项目实施月报表（9月详细情况）2007(1).9.26" xfId="2" xr:uid="{00000000-0005-0000-0000-000001000000}"/>
    <cellStyle name="Гиперссылка 2" xfId="4" xr:uid="{00000000-0005-0000-0000-000003000000}"/>
    <cellStyle name="Обычный" xfId="0" builtinId="0"/>
    <cellStyle name="Обычный 2" xfId="26" xr:uid="{9A4CE487-5B98-4D60-9D56-95AC3BF5F872}"/>
    <cellStyle name="Обычный 3" xfId="5" xr:uid="{00000000-0005-0000-0000-000004000000}"/>
    <cellStyle name="Обычный 4" xfId="6" xr:uid="{00000000-0005-0000-0000-000005000000}"/>
    <cellStyle name="Обычный 5" xfId="7" xr:uid="{00000000-0005-0000-0000-000006000000}"/>
    <cellStyle name="Standaard" xfId="3" xr:uid="{00000000-0005-0000-0000-000002000000}"/>
    <cellStyle name="千位分隔 2" xfId="20" xr:uid="{00000000-0005-0000-0000-000017000000}"/>
    <cellStyle name="千位分隔 2 2" xfId="21" xr:uid="{00000000-0005-0000-0000-000018000000}"/>
    <cellStyle name="千位分隔 2 3" xfId="22" xr:uid="{00000000-0005-0000-0000-000019000000}"/>
    <cellStyle name="千位分隔 3" xfId="23" xr:uid="{00000000-0005-0000-0000-00001A000000}"/>
    <cellStyle name="常规 10" xfId="9" xr:uid="{00000000-0005-0000-0000-00000A000000}"/>
    <cellStyle name="常规 10 2" xfId="10" xr:uid="{00000000-0005-0000-0000-00000B000000}"/>
    <cellStyle name="常规 2" xfId="11" xr:uid="{00000000-0005-0000-0000-00000C000000}"/>
    <cellStyle name="常规 2 10" xfId="27" xr:uid="{98D867B9-675C-47AC-BCE3-926339B23C2F}"/>
    <cellStyle name="常规 2 2 2" xfId="12" xr:uid="{00000000-0005-0000-0000-00000D000000}"/>
    <cellStyle name="常规 2 3" xfId="13" xr:uid="{00000000-0005-0000-0000-00000E000000}"/>
    <cellStyle name="常规 2 3 2" xfId="14" xr:uid="{00000000-0005-0000-0000-00000F000000}"/>
    <cellStyle name="常规 2 5" xfId="15" xr:uid="{00000000-0005-0000-0000-000010000000}"/>
    <cellStyle name="常规 2 7" xfId="16" xr:uid="{00000000-0005-0000-0000-000011000000}"/>
    <cellStyle name="常规 5 2" xfId="25" xr:uid="{00000000-0005-0000-0000-000012000000}"/>
    <cellStyle name="常规 9" xfId="17" xr:uid="{00000000-0005-0000-0000-000013000000}"/>
    <cellStyle name="常规_新产品可投产通知函" xfId="18" xr:uid="{00000000-0005-0000-0000-000014000000}"/>
    <cellStyle name="样式 1" xfId="24" xr:uid="{00000000-0005-0000-0000-00001B000000}"/>
    <cellStyle name="百分比 2" xfId="8" xr:uid="{00000000-0005-0000-0000-000008000000}"/>
    <cellStyle name="货币 2" xfId="19" xr:uid="{00000000-0005-0000-0000-000016000000}"/>
  </cellStyles>
  <dxfs count="0"/>
  <tableStyles count="0" defaultTableStyle="TableStyleMedium9" defaultPivotStyle="PivotStyleLight16"/>
  <colors>
    <mruColors>
      <color rgb="FF66FF66"/>
      <color rgb="FF80F864"/>
      <color rgb="FFFFFFCC"/>
      <color rgb="FFF6FED2"/>
      <color rgb="FFFF0000"/>
      <color rgb="FF4D4D4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jpeg"/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emf"/><Relationship Id="rId1" Type="http://schemas.openxmlformats.org/officeDocument/2006/relationships/image" Target="../media/image9.png"/><Relationship Id="rId4" Type="http://schemas.openxmlformats.org/officeDocument/2006/relationships/image" Target="../media/image1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258537</xdr:colOff>
      <xdr:row>3</xdr:row>
      <xdr:rowOff>18708</xdr:rowOff>
    </xdr:from>
    <xdr:to>
      <xdr:col>0</xdr:col>
      <xdr:colOff>1483452</xdr:colOff>
      <xdr:row>7</xdr:row>
      <xdr:rowOff>59091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258445" y="1235710"/>
          <a:ext cx="1215390" cy="1450340"/>
        </a:xfrm>
        <a:prstGeom prst="rect">
          <a:avLst/>
        </a:prstGeom>
      </xdr:spPr>
    </xdr:pic>
    <xdr:clientData/>
  </xdr:twoCellAnchor>
  <xdr:twoCellAnchor editAs="oneCell">
    <xdr:from>
      <xdr:col>0</xdr:col>
      <xdr:colOff>569799</xdr:colOff>
      <xdr:row>9</xdr:row>
      <xdr:rowOff>85045</xdr:rowOff>
    </xdr:from>
    <xdr:to>
      <xdr:col>0</xdr:col>
      <xdr:colOff>1163540</xdr:colOff>
      <xdr:row>12</xdr:row>
      <xdr:rowOff>16938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569595" y="3359150"/>
          <a:ext cx="593725" cy="817880"/>
        </a:xfrm>
        <a:prstGeom prst="rect">
          <a:avLst/>
        </a:prstGeom>
      </xdr:spPr>
    </xdr:pic>
    <xdr:clientData/>
  </xdr:twoCellAnchor>
  <xdr:twoCellAnchor editAs="oneCell">
    <xdr:from>
      <xdr:col>0</xdr:col>
      <xdr:colOff>392908</xdr:colOff>
      <xdr:row>17</xdr:row>
      <xdr:rowOff>136072</xdr:rowOff>
    </xdr:from>
    <xdr:to>
      <xdr:col>0</xdr:col>
      <xdr:colOff>1369077</xdr:colOff>
      <xdr:row>20</xdr:row>
      <xdr:rowOff>1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392430" y="5311775"/>
          <a:ext cx="973455" cy="664210"/>
        </a:xfrm>
        <a:prstGeom prst="rect">
          <a:avLst/>
        </a:prstGeom>
      </xdr:spPr>
    </xdr:pic>
    <xdr:clientData/>
  </xdr:twoCellAnchor>
  <xdr:twoCellAnchor editAs="oneCell">
    <xdr:from>
      <xdr:col>0</xdr:col>
      <xdr:colOff>348683</xdr:colOff>
      <xdr:row>22</xdr:row>
      <xdr:rowOff>76541</xdr:rowOff>
    </xdr:from>
    <xdr:to>
      <xdr:col>0</xdr:col>
      <xdr:colOff>1402782</xdr:colOff>
      <xdr:row>25</xdr:row>
      <xdr:rowOff>182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/>
        <a:stretch>
          <a:fillRect/>
        </a:stretch>
      </xdr:blipFill>
      <xdr:spPr>
        <a:xfrm>
          <a:off x="348615" y="6381750"/>
          <a:ext cx="1057275" cy="4267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16</xdr:row>
      <xdr:rowOff>13606</xdr:rowOff>
    </xdr:from>
    <xdr:to>
      <xdr:col>5</xdr:col>
      <xdr:colOff>598447</xdr:colOff>
      <xdr:row>17</xdr:row>
      <xdr:rowOff>26004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2198350" y="15469235"/>
          <a:ext cx="587375" cy="15621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5</xdr:col>
      <xdr:colOff>0</xdr:colOff>
      <xdr:row>17</xdr:row>
      <xdr:rowOff>830035</xdr:rowOff>
    </xdr:from>
    <xdr:to>
      <xdr:col>5</xdr:col>
      <xdr:colOff>446980</xdr:colOff>
      <xdr:row>18</xdr:row>
      <xdr:rowOff>149374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12198350" y="15977870"/>
          <a:ext cx="435610" cy="14922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oneCellAnchor>
    <xdr:from>
      <xdr:col>5</xdr:col>
      <xdr:colOff>0</xdr:colOff>
      <xdr:row>16</xdr:row>
      <xdr:rowOff>13606</xdr:rowOff>
    </xdr:from>
    <xdr:ext cx="591462" cy="175253"/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12198350" y="15469235"/>
          <a:ext cx="591185" cy="17526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oneCellAnchor>
  <xdr:oneCellAnchor>
    <xdr:from>
      <xdr:col>5</xdr:col>
      <xdr:colOff>0</xdr:colOff>
      <xdr:row>17</xdr:row>
      <xdr:rowOff>830035</xdr:rowOff>
    </xdr:from>
    <xdr:ext cx="432375" cy="148016"/>
    <xdr:pic>
      <xdr:nvPicPr>
        <xdr:cNvPr id="6" name="图片 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12846050" y="15977870"/>
          <a:ext cx="431800" cy="147955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oneCellAnchor>
  <xdr:twoCellAnchor editAs="oneCell">
    <xdr:from>
      <xdr:col>8</xdr:col>
      <xdr:colOff>0</xdr:colOff>
      <xdr:row>16</xdr:row>
      <xdr:rowOff>13606</xdr:rowOff>
    </xdr:from>
    <xdr:to>
      <xdr:col>8</xdr:col>
      <xdr:colOff>592732</xdr:colOff>
      <xdr:row>17</xdr:row>
      <xdr:rowOff>26004</xdr:rowOff>
    </xdr:to>
    <xdr:pic>
      <xdr:nvPicPr>
        <xdr:cNvPr id="8" name="图片 1">
          <a:extLst>
            <a:ext uri="{FF2B5EF4-FFF2-40B4-BE49-F238E27FC236}">
              <a16:creationId xmlns:a16="http://schemas.microsoft.com/office/drawing/2014/main" id="{247E367F-DEDE-40CF-8247-DD199F0CF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8168640" y="2965086"/>
          <a:ext cx="591462" cy="152098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441265</xdr:colOff>
      <xdr:row>17</xdr:row>
      <xdr:rowOff>142973</xdr:rowOff>
    </xdr:to>
    <xdr:pic>
      <xdr:nvPicPr>
        <xdr:cNvPr id="9" name="图片 2">
          <a:extLst>
            <a:ext uri="{FF2B5EF4-FFF2-40B4-BE49-F238E27FC236}">
              <a16:creationId xmlns:a16="http://schemas.microsoft.com/office/drawing/2014/main" id="{F184F4D3-CC57-4131-8AD7-5B8A84F0C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8168640" y="3116580"/>
          <a:ext cx="439995" cy="141703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oneCellAnchor>
    <xdr:from>
      <xdr:col>8</xdr:col>
      <xdr:colOff>0</xdr:colOff>
      <xdr:row>16</xdr:row>
      <xdr:rowOff>13606</xdr:rowOff>
    </xdr:from>
    <xdr:ext cx="591462" cy="175253"/>
    <xdr:pic>
      <xdr:nvPicPr>
        <xdr:cNvPr id="10" name="图片 6">
          <a:extLst>
            <a:ext uri="{FF2B5EF4-FFF2-40B4-BE49-F238E27FC236}">
              <a16:creationId xmlns:a16="http://schemas.microsoft.com/office/drawing/2014/main" id="{DCF6CCA4-3FA1-43B7-BF0B-77539C0DC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8168640" y="2965086"/>
          <a:ext cx="591462" cy="175253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oneCellAnchor>
  <xdr:oneCellAnchor>
    <xdr:from>
      <xdr:col>8</xdr:col>
      <xdr:colOff>0</xdr:colOff>
      <xdr:row>17</xdr:row>
      <xdr:rowOff>0</xdr:rowOff>
    </xdr:from>
    <xdr:ext cx="432375" cy="148016"/>
    <xdr:pic>
      <xdr:nvPicPr>
        <xdr:cNvPr id="11" name="图片 2">
          <a:extLst>
            <a:ext uri="{FF2B5EF4-FFF2-40B4-BE49-F238E27FC236}">
              <a16:creationId xmlns:a16="http://schemas.microsoft.com/office/drawing/2014/main" id="{250945BA-4B4E-459D-A609-E08CE7BAA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8168640" y="3116580"/>
          <a:ext cx="432375" cy="148016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129</xdr:row>
      <xdr:rowOff>0</xdr:rowOff>
    </xdr:from>
    <xdr:to>
      <xdr:col>0</xdr:col>
      <xdr:colOff>38100</xdr:colOff>
      <xdr:row>129</xdr:row>
      <xdr:rowOff>25400</xdr:rowOff>
    </xdr:to>
    <xdr:pic>
      <xdr:nvPicPr>
        <xdr:cNvPr id="2" name="Picture 1" descr="dot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>
        <a:xfrm>
          <a:off x="0" y="43739435"/>
          <a:ext cx="3810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129</xdr:row>
      <xdr:rowOff>0</xdr:rowOff>
    </xdr:from>
    <xdr:to>
      <xdr:col>4</xdr:col>
      <xdr:colOff>38100</xdr:colOff>
      <xdr:row>129</xdr:row>
      <xdr:rowOff>25400</xdr:rowOff>
    </xdr:to>
    <xdr:pic>
      <xdr:nvPicPr>
        <xdr:cNvPr id="88" name="Picture 87" descr="dot3">
          <a:extLst>
            <a:ext uri="{FF2B5EF4-FFF2-40B4-BE49-F238E27FC236}">
              <a16:creationId xmlns:a16="http://schemas.microsoft.com/office/drawing/2014/main" id="{00000000-0008-0000-04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>
        <a:xfrm>
          <a:off x="3287395" y="43739435"/>
          <a:ext cx="3810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38100</xdr:colOff>
      <xdr:row>129</xdr:row>
      <xdr:rowOff>25400</xdr:rowOff>
    </xdr:to>
    <xdr:pic>
      <xdr:nvPicPr>
        <xdr:cNvPr id="270" name="Picture 269" descr="dot3">
          <a:extLst>
            <a:ext uri="{FF2B5EF4-FFF2-40B4-BE49-F238E27FC236}">
              <a16:creationId xmlns:a16="http://schemas.microsoft.com/office/drawing/2014/main" id="{00000000-0008-0000-04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>
        <a:xfrm>
          <a:off x="958850" y="43739435"/>
          <a:ext cx="3810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0</xdr:col>
      <xdr:colOff>38100</xdr:colOff>
      <xdr:row>127</xdr:row>
      <xdr:rowOff>25400</xdr:rowOff>
    </xdr:to>
    <xdr:pic>
      <xdr:nvPicPr>
        <xdr:cNvPr id="352" name="Picture 351" descr="dot3">
          <a:extLst>
            <a:ext uri="{FF2B5EF4-FFF2-40B4-BE49-F238E27FC236}">
              <a16:creationId xmlns:a16="http://schemas.microsoft.com/office/drawing/2014/main" id="{00000000-0008-0000-0400-00006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>
        <a:xfrm>
          <a:off x="0" y="43343195"/>
          <a:ext cx="3810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0</xdr:colOff>
      <xdr:row>127</xdr:row>
      <xdr:rowOff>0</xdr:rowOff>
    </xdr:from>
    <xdr:to>
      <xdr:col>4</xdr:col>
      <xdr:colOff>38100</xdr:colOff>
      <xdr:row>127</xdr:row>
      <xdr:rowOff>25400</xdr:rowOff>
    </xdr:to>
    <xdr:pic>
      <xdr:nvPicPr>
        <xdr:cNvPr id="433" name="Picture 432" descr="dot3">
          <a:extLst>
            <a:ext uri="{FF2B5EF4-FFF2-40B4-BE49-F238E27FC236}">
              <a16:creationId xmlns:a16="http://schemas.microsoft.com/office/drawing/2014/main" id="{00000000-0008-0000-0400-0000B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>
        <a:xfrm>
          <a:off x="3287395" y="43343195"/>
          <a:ext cx="3810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38100</xdr:colOff>
      <xdr:row>127</xdr:row>
      <xdr:rowOff>25400</xdr:rowOff>
    </xdr:to>
    <xdr:pic>
      <xdr:nvPicPr>
        <xdr:cNvPr id="612" name="Picture 611" descr="dot3">
          <a:extLst>
            <a:ext uri="{FF2B5EF4-FFF2-40B4-BE49-F238E27FC236}">
              <a16:creationId xmlns:a16="http://schemas.microsoft.com/office/drawing/2014/main" id="{00000000-0008-0000-0400-000064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>
        <a:xfrm>
          <a:off x="958850" y="43343195"/>
          <a:ext cx="3810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7</xdr:col>
      <xdr:colOff>0</xdr:colOff>
      <xdr:row>127</xdr:row>
      <xdr:rowOff>0</xdr:rowOff>
    </xdr:from>
    <xdr:to>
      <xdr:col>7</xdr:col>
      <xdr:colOff>38100</xdr:colOff>
      <xdr:row>127</xdr:row>
      <xdr:rowOff>25400</xdr:rowOff>
    </xdr:to>
    <xdr:pic>
      <xdr:nvPicPr>
        <xdr:cNvPr id="693" name="Picture 692" descr="dot3">
          <a:extLst>
            <a:ext uri="{FF2B5EF4-FFF2-40B4-BE49-F238E27FC236}">
              <a16:creationId xmlns:a16="http://schemas.microsoft.com/office/drawing/2014/main" id="{00000000-0008-0000-0400-0000B502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>
        <a:xfrm>
          <a:off x="11415395" y="43343195"/>
          <a:ext cx="38100" cy="304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161923</xdr:colOff>
      <xdr:row>2</xdr:row>
      <xdr:rowOff>123825</xdr:rowOff>
    </xdr:from>
    <xdr:to>
      <xdr:col>5</xdr:col>
      <xdr:colOff>1365249</xdr:colOff>
      <xdr:row>7</xdr:row>
      <xdr:rowOff>107173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108690" y="517525"/>
          <a:ext cx="1200150" cy="969010"/>
        </a:xfrm>
        <a:prstGeom prst="rect">
          <a:avLst/>
        </a:prstGeom>
      </xdr:spPr>
    </xdr:pic>
    <xdr:clientData/>
  </xdr:twoCellAnchor>
  <xdr:oneCellAnchor>
    <xdr:from>
      <xdr:col>5</xdr:col>
      <xdr:colOff>228600</xdr:colOff>
      <xdr:row>17</xdr:row>
      <xdr:rowOff>157108</xdr:rowOff>
    </xdr:from>
    <xdr:ext cx="1085850" cy="960491"/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/>
        <a:srcRect l="12948" t="5394" r="13498" b="3735"/>
        <a:stretch>
          <a:fillRect/>
        </a:stretch>
      </xdr:blipFill>
      <xdr:spPr>
        <a:xfrm>
          <a:off x="11176000" y="3507105"/>
          <a:ext cx="1085850" cy="960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5</xdr:col>
      <xdr:colOff>66676</xdr:colOff>
      <xdr:row>43</xdr:row>
      <xdr:rowOff>179261</xdr:rowOff>
    </xdr:from>
    <xdr:to>
      <xdr:col>5</xdr:col>
      <xdr:colOff>1406525</xdr:colOff>
      <xdr:row>47</xdr:row>
      <xdr:rowOff>145414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email"/>
        <a:stretch>
          <a:fillRect/>
        </a:stretch>
      </xdr:blipFill>
      <xdr:spPr>
        <a:xfrm>
          <a:off x="11014075" y="8665210"/>
          <a:ext cx="1333500" cy="758825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</xdr:colOff>
      <xdr:row>8</xdr:row>
      <xdr:rowOff>95250</xdr:rowOff>
    </xdr:from>
    <xdr:to>
      <xdr:col>5</xdr:col>
      <xdr:colOff>1459888</xdr:colOff>
      <xdr:row>13</xdr:row>
      <xdr:rowOff>35202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email"/>
        <a:stretch>
          <a:fillRect/>
        </a:stretch>
      </xdr:blipFill>
      <xdr:spPr>
        <a:xfrm>
          <a:off x="11004550" y="1670050"/>
          <a:ext cx="1405890" cy="930275"/>
        </a:xfrm>
        <a:prstGeom prst="rect">
          <a:avLst/>
        </a:prstGeom>
      </xdr:spPr>
    </xdr:pic>
    <xdr:clientData/>
  </xdr:twoCellAnchor>
  <xdr:oneCellAnchor>
    <xdr:from>
      <xdr:col>5</xdr:col>
      <xdr:colOff>228600</xdr:colOff>
      <xdr:row>30</xdr:row>
      <xdr:rowOff>157108</xdr:rowOff>
    </xdr:from>
    <xdr:ext cx="1085850" cy="874766"/>
    <xdr:pic>
      <xdr:nvPicPr>
        <xdr:cNvPr id="8" name="图片 10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email"/>
        <a:srcRect l="12948" t="5394" r="13498" b="3735"/>
        <a:stretch>
          <a:fillRect/>
        </a:stretch>
      </xdr:blipFill>
      <xdr:spPr>
        <a:xfrm>
          <a:off x="11176000" y="6075045"/>
          <a:ext cx="1085850" cy="8743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65</xdr:row>
      <xdr:rowOff>0</xdr:rowOff>
    </xdr:from>
    <xdr:to>
      <xdr:col>0</xdr:col>
      <xdr:colOff>38100</xdr:colOff>
      <xdr:row>65</xdr:row>
      <xdr:rowOff>140970</xdr:rowOff>
    </xdr:to>
    <xdr:pic>
      <xdr:nvPicPr>
        <xdr:cNvPr id="58720" name="Picture 1" descr="dot3">
          <a:extLst>
            <a:ext uri="{FF2B5EF4-FFF2-40B4-BE49-F238E27FC236}">
              <a16:creationId xmlns:a16="http://schemas.microsoft.com/office/drawing/2014/main" id="{00000000-0008-0000-0C00-000060E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10843260"/>
          <a:ext cx="3810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38100</xdr:colOff>
      <xdr:row>65</xdr:row>
      <xdr:rowOff>140970</xdr:rowOff>
    </xdr:to>
    <xdr:pic>
      <xdr:nvPicPr>
        <xdr:cNvPr id="58806" name="Picture 87" descr="dot3">
          <a:extLst>
            <a:ext uri="{FF2B5EF4-FFF2-40B4-BE49-F238E27FC236}">
              <a16:creationId xmlns:a16="http://schemas.microsoft.com/office/drawing/2014/main" id="{00000000-0008-0000-0C00-0000B6E5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682750" y="10843260"/>
          <a:ext cx="3810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38100</xdr:colOff>
      <xdr:row>65</xdr:row>
      <xdr:rowOff>140970</xdr:rowOff>
    </xdr:to>
    <xdr:pic>
      <xdr:nvPicPr>
        <xdr:cNvPr id="58988" name="Picture 269" descr="dot3">
          <a:extLst>
            <a:ext uri="{FF2B5EF4-FFF2-40B4-BE49-F238E27FC236}">
              <a16:creationId xmlns:a16="http://schemas.microsoft.com/office/drawing/2014/main" id="{00000000-0008-0000-0C00-00006CE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00100" y="10843260"/>
          <a:ext cx="3810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38100</xdr:colOff>
      <xdr:row>63</xdr:row>
      <xdr:rowOff>140970</xdr:rowOff>
    </xdr:to>
    <xdr:pic>
      <xdr:nvPicPr>
        <xdr:cNvPr id="59070" name="Picture 351" descr="dot3">
          <a:extLst>
            <a:ext uri="{FF2B5EF4-FFF2-40B4-BE49-F238E27FC236}">
              <a16:creationId xmlns:a16="http://schemas.microsoft.com/office/drawing/2014/main" id="{00000000-0008-0000-0C00-0000BEE6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10538460"/>
          <a:ext cx="3810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38100</xdr:colOff>
      <xdr:row>63</xdr:row>
      <xdr:rowOff>140970</xdr:rowOff>
    </xdr:to>
    <xdr:pic>
      <xdr:nvPicPr>
        <xdr:cNvPr id="59151" name="Picture 432" descr="dot3">
          <a:extLst>
            <a:ext uri="{FF2B5EF4-FFF2-40B4-BE49-F238E27FC236}">
              <a16:creationId xmlns:a16="http://schemas.microsoft.com/office/drawing/2014/main" id="{00000000-0008-0000-0C00-00000FE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682750" y="10538460"/>
          <a:ext cx="3810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38100</xdr:colOff>
      <xdr:row>63</xdr:row>
      <xdr:rowOff>140970</xdr:rowOff>
    </xdr:to>
    <xdr:pic>
      <xdr:nvPicPr>
        <xdr:cNvPr id="59330" name="Picture 611" descr="dot3">
          <a:extLst>
            <a:ext uri="{FF2B5EF4-FFF2-40B4-BE49-F238E27FC236}">
              <a16:creationId xmlns:a16="http://schemas.microsoft.com/office/drawing/2014/main" id="{00000000-0008-0000-0C00-0000C2E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00100" y="10538460"/>
          <a:ext cx="3810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63</xdr:row>
      <xdr:rowOff>0</xdr:rowOff>
    </xdr:from>
    <xdr:to>
      <xdr:col>6</xdr:col>
      <xdr:colOff>38100</xdr:colOff>
      <xdr:row>63</xdr:row>
      <xdr:rowOff>140970</xdr:rowOff>
    </xdr:to>
    <xdr:pic>
      <xdr:nvPicPr>
        <xdr:cNvPr id="63507" name="Picture 692" descr="dot3">
          <a:extLst>
            <a:ext uri="{FF2B5EF4-FFF2-40B4-BE49-F238E27FC236}">
              <a16:creationId xmlns:a16="http://schemas.microsoft.com/office/drawing/2014/main" id="{00000000-0008-0000-0C00-000013F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775700" y="10538460"/>
          <a:ext cx="3810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38100</xdr:colOff>
      <xdr:row>21</xdr:row>
      <xdr:rowOff>140970</xdr:rowOff>
    </xdr:to>
    <xdr:pic>
      <xdr:nvPicPr>
        <xdr:cNvPr id="63871" name="Picture 1057" descr="dot3">
          <a:extLst>
            <a:ext uri="{FF2B5EF4-FFF2-40B4-BE49-F238E27FC236}">
              <a16:creationId xmlns:a16="http://schemas.microsoft.com/office/drawing/2014/main" id="{00000000-0008-0000-0C00-00007FF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0" y="3474720"/>
          <a:ext cx="3810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38100</xdr:colOff>
      <xdr:row>21</xdr:row>
      <xdr:rowOff>140970</xdr:rowOff>
    </xdr:to>
    <xdr:pic>
      <xdr:nvPicPr>
        <xdr:cNvPr id="63957" name="Picture 1143" descr="dot3">
          <a:extLst>
            <a:ext uri="{FF2B5EF4-FFF2-40B4-BE49-F238E27FC236}">
              <a16:creationId xmlns:a16="http://schemas.microsoft.com/office/drawing/2014/main" id="{00000000-0008-0000-0C00-0000D5F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682750" y="3474720"/>
          <a:ext cx="3810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38100</xdr:colOff>
      <xdr:row>21</xdr:row>
      <xdr:rowOff>140970</xdr:rowOff>
    </xdr:to>
    <xdr:pic>
      <xdr:nvPicPr>
        <xdr:cNvPr id="64139" name="Picture 1325" descr="dot3">
          <a:extLst>
            <a:ext uri="{FF2B5EF4-FFF2-40B4-BE49-F238E27FC236}">
              <a16:creationId xmlns:a16="http://schemas.microsoft.com/office/drawing/2014/main" id="{00000000-0008-0000-0C00-00008BF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00100" y="3474720"/>
          <a:ext cx="3810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38100</xdr:colOff>
      <xdr:row>21</xdr:row>
      <xdr:rowOff>140970</xdr:rowOff>
    </xdr:to>
    <xdr:pic>
      <xdr:nvPicPr>
        <xdr:cNvPr id="64562" name="Picture 1748" descr="dot3">
          <a:extLst>
            <a:ext uri="{FF2B5EF4-FFF2-40B4-BE49-F238E27FC236}">
              <a16:creationId xmlns:a16="http://schemas.microsoft.com/office/drawing/2014/main" id="{00000000-0008-0000-0C00-000032F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775700" y="3474720"/>
          <a:ext cx="38100" cy="1238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266700</xdr:colOff>
      <xdr:row>79</xdr:row>
      <xdr:rowOff>211992</xdr:rowOff>
    </xdr:from>
    <xdr:to>
      <xdr:col>10</xdr:col>
      <xdr:colOff>1209674</xdr:colOff>
      <xdr:row>83</xdr:row>
      <xdr:rowOff>28575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5125700" y="16691610"/>
          <a:ext cx="942340" cy="965835"/>
        </a:xfrm>
        <a:prstGeom prst="rect">
          <a:avLst/>
        </a:prstGeom>
      </xdr:spPr>
    </xdr:pic>
    <xdr:clientData/>
  </xdr:twoCellAnchor>
  <xdr:twoCellAnchor editAs="oneCell">
    <xdr:from>
      <xdr:col>10</xdr:col>
      <xdr:colOff>371475</xdr:colOff>
      <xdr:row>91</xdr:row>
      <xdr:rowOff>171450</xdr:rowOff>
    </xdr:from>
    <xdr:to>
      <xdr:col>10</xdr:col>
      <xdr:colOff>1314449</xdr:colOff>
      <xdr:row>95</xdr:row>
      <xdr:rowOff>54708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5230475" y="19385280"/>
          <a:ext cx="942340" cy="980440"/>
        </a:xfrm>
        <a:prstGeom prst="rect">
          <a:avLst/>
        </a:prstGeom>
      </xdr:spPr>
    </xdr:pic>
    <xdr:clientData/>
  </xdr:twoCellAnchor>
  <xdr:twoCellAnchor editAs="oneCell">
    <xdr:from>
      <xdr:col>6</xdr:col>
      <xdr:colOff>1705147</xdr:colOff>
      <xdr:row>129</xdr:row>
      <xdr:rowOff>523875</xdr:rowOff>
    </xdr:from>
    <xdr:to>
      <xdr:col>6</xdr:col>
      <xdr:colOff>1929612</xdr:colOff>
      <xdr:row>129</xdr:row>
      <xdr:rowOff>1247775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10480675" y="28948380"/>
          <a:ext cx="224155" cy="723900"/>
        </a:xfrm>
        <a:prstGeom prst="rect">
          <a:avLst/>
        </a:prstGeom>
      </xdr:spPr>
    </xdr:pic>
    <xdr:clientData/>
  </xdr:twoCellAnchor>
  <xdr:twoCellAnchor editAs="oneCell">
    <xdr:from>
      <xdr:col>9</xdr:col>
      <xdr:colOff>200025</xdr:colOff>
      <xdr:row>118</xdr:row>
      <xdr:rowOff>228600</xdr:rowOff>
    </xdr:from>
    <xdr:to>
      <xdr:col>9</xdr:col>
      <xdr:colOff>1868916</xdr:colOff>
      <xdr:row>120</xdr:row>
      <xdr:rowOff>180975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email"/>
        <a:srcRect/>
        <a:stretch>
          <a:fillRect/>
        </a:stretch>
      </xdr:blipFill>
      <xdr:spPr>
        <a:xfrm>
          <a:off x="12728575" y="25195530"/>
          <a:ext cx="1668780" cy="581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84667</xdr:colOff>
      <xdr:row>129</xdr:row>
      <xdr:rowOff>498174</xdr:rowOff>
    </xdr:from>
    <xdr:to>
      <xdr:col>8</xdr:col>
      <xdr:colOff>309132</xdr:colOff>
      <xdr:row>129</xdr:row>
      <xdr:rowOff>1222074</xdr:rowOff>
    </xdr:to>
    <xdr:pic>
      <xdr:nvPicPr>
        <xdr:cNvPr id="6" name="图片 3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11939905" y="28922345"/>
          <a:ext cx="224155" cy="72390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4"/>
  <sheetViews>
    <sheetView workbookViewId="0">
      <pane xSplit="2" ySplit="1" topLeftCell="C913" activePane="bottomRight" state="frozen"/>
      <selection pane="topRight"/>
      <selection pane="bottomLeft"/>
      <selection pane="bottomRight" activeCell="B1029" sqref="B1029"/>
    </sheetView>
  </sheetViews>
  <sheetFormatPr baseColWidth="10" defaultColWidth="9" defaultRowHeight="15"/>
  <cols>
    <col min="1" max="1" width="28.1640625" customWidth="1"/>
    <col min="2" max="2" width="27.6640625" customWidth="1"/>
    <col min="3" max="3" width="25.5" customWidth="1"/>
    <col min="4" max="4" width="9.1640625" customWidth="1"/>
    <col min="5" max="5" width="15.1640625" customWidth="1"/>
    <col min="6" max="6" width="17.1640625" customWidth="1"/>
  </cols>
  <sheetData>
    <row r="1" spans="1:4">
      <c r="A1" s="82" t="s">
        <v>0</v>
      </c>
      <c r="B1" s="82" t="s">
        <v>1</v>
      </c>
      <c r="C1" s="83" t="s">
        <v>2</v>
      </c>
      <c r="D1" s="82" t="s">
        <v>3</v>
      </c>
    </row>
    <row r="2" spans="1:4" ht="18">
      <c r="A2" s="84" t="s">
        <v>4</v>
      </c>
      <c r="B2" s="84" t="s">
        <v>5</v>
      </c>
      <c r="C2" s="85" t="s">
        <v>6</v>
      </c>
      <c r="D2" s="86">
        <v>2531</v>
      </c>
    </row>
    <row r="3" spans="1:4" ht="18">
      <c r="A3" s="84" t="s">
        <v>7</v>
      </c>
      <c r="B3" s="84" t="s">
        <v>8</v>
      </c>
      <c r="C3" s="85" t="s">
        <v>9</v>
      </c>
      <c r="D3" s="86">
        <v>2609</v>
      </c>
    </row>
    <row r="4" spans="1:4" ht="18">
      <c r="A4" s="84" t="s">
        <v>10</v>
      </c>
      <c r="B4" s="84" t="s">
        <v>11</v>
      </c>
      <c r="C4" s="85" t="s">
        <v>12</v>
      </c>
      <c r="D4" s="86">
        <v>2898</v>
      </c>
    </row>
    <row r="5" spans="1:4" ht="18">
      <c r="A5" s="84" t="s">
        <v>13</v>
      </c>
      <c r="B5" s="84" t="s">
        <v>14</v>
      </c>
      <c r="C5" s="85" t="s">
        <v>15</v>
      </c>
      <c r="D5" s="86">
        <v>3389</v>
      </c>
    </row>
    <row r="6" spans="1:4" ht="18">
      <c r="A6" s="84" t="s">
        <v>16</v>
      </c>
      <c r="B6" s="84" t="s">
        <v>17</v>
      </c>
      <c r="C6" s="85" t="s">
        <v>18</v>
      </c>
      <c r="D6" s="86">
        <v>3537</v>
      </c>
    </row>
    <row r="7" spans="1:4" ht="18">
      <c r="A7" s="84" t="s">
        <v>19</v>
      </c>
      <c r="B7" s="84" t="s">
        <v>20</v>
      </c>
      <c r="C7" s="85" t="s">
        <v>21</v>
      </c>
      <c r="D7" s="86">
        <v>4238</v>
      </c>
    </row>
    <row r="8" spans="1:4" ht="18">
      <c r="A8" s="84" t="s">
        <v>22</v>
      </c>
      <c r="B8" s="84" t="s">
        <v>23</v>
      </c>
      <c r="C8" s="85" t="s">
        <v>24</v>
      </c>
      <c r="D8" s="86">
        <v>4349</v>
      </c>
    </row>
    <row r="9" spans="1:4" ht="18">
      <c r="A9" s="84" t="s">
        <v>25</v>
      </c>
      <c r="B9" s="84" t="s">
        <v>26</v>
      </c>
      <c r="C9" s="85" t="s">
        <v>27</v>
      </c>
      <c r="D9" s="86">
        <v>4641</v>
      </c>
    </row>
    <row r="10" spans="1:4" ht="18">
      <c r="A10" s="84" t="s">
        <v>28</v>
      </c>
      <c r="B10" s="84" t="s">
        <v>29</v>
      </c>
      <c r="C10" s="85" t="s">
        <v>30</v>
      </c>
      <c r="D10" s="86">
        <v>5220</v>
      </c>
    </row>
    <row r="11" spans="1:4" ht="18">
      <c r="A11" s="84" t="s">
        <v>31</v>
      </c>
      <c r="B11" s="84" t="s">
        <v>32</v>
      </c>
      <c r="C11" s="85" t="s">
        <v>33</v>
      </c>
      <c r="D11" s="86">
        <v>5463</v>
      </c>
    </row>
    <row r="12" spans="1:4" ht="18">
      <c r="A12" s="84" t="s">
        <v>34</v>
      </c>
      <c r="B12" s="84" t="s">
        <v>35</v>
      </c>
      <c r="C12" s="85" t="s">
        <v>36</v>
      </c>
      <c r="D12" s="86">
        <v>5717</v>
      </c>
    </row>
    <row r="13" spans="1:4" ht="18">
      <c r="A13" s="84" t="s">
        <v>37</v>
      </c>
      <c r="B13" s="84" t="s">
        <v>38</v>
      </c>
      <c r="C13" s="85" t="s">
        <v>39</v>
      </c>
      <c r="D13" s="86">
        <v>6166</v>
      </c>
    </row>
    <row r="14" spans="1:4" ht="18">
      <c r="A14" s="84" t="s">
        <v>40</v>
      </c>
      <c r="B14" s="84" t="s">
        <v>41</v>
      </c>
      <c r="C14" s="85" t="s">
        <v>42</v>
      </c>
      <c r="D14" s="86">
        <v>6215</v>
      </c>
    </row>
    <row r="15" spans="1:4" ht="18">
      <c r="A15" s="84" t="s">
        <v>43</v>
      </c>
      <c r="B15" s="84" t="s">
        <v>44</v>
      </c>
      <c r="C15" s="85" t="s">
        <v>45</v>
      </c>
      <c r="D15" s="86">
        <v>2084</v>
      </c>
    </row>
    <row r="16" spans="1:4" ht="18">
      <c r="A16" s="84" t="s">
        <v>46</v>
      </c>
      <c r="B16" s="84" t="s">
        <v>47</v>
      </c>
      <c r="C16" s="85" t="s">
        <v>48</v>
      </c>
      <c r="D16" s="86">
        <v>2123</v>
      </c>
    </row>
    <row r="17" spans="1:4" ht="18">
      <c r="A17" s="84" t="s">
        <v>49</v>
      </c>
      <c r="B17" s="84" t="s">
        <v>50</v>
      </c>
      <c r="C17" s="85" t="s">
        <v>51</v>
      </c>
      <c r="D17" s="86">
        <v>2437</v>
      </c>
    </row>
    <row r="18" spans="1:4" ht="18">
      <c r="A18" s="84" t="s">
        <v>52</v>
      </c>
      <c r="B18" s="84" t="s">
        <v>53</v>
      </c>
      <c r="C18" s="85" t="s">
        <v>54</v>
      </c>
      <c r="D18" s="86">
        <v>2850</v>
      </c>
    </row>
    <row r="19" spans="1:4" ht="18">
      <c r="A19" s="84" t="s">
        <v>55</v>
      </c>
      <c r="B19" s="84" t="s">
        <v>56</v>
      </c>
      <c r="C19" s="85" t="s">
        <v>57</v>
      </c>
      <c r="D19" s="86">
        <v>2896</v>
      </c>
    </row>
    <row r="20" spans="1:4" ht="18">
      <c r="A20" s="84" t="s">
        <v>58</v>
      </c>
      <c r="B20" s="84" t="s">
        <v>59</v>
      </c>
      <c r="C20" s="85" t="s">
        <v>60</v>
      </c>
      <c r="D20" s="86">
        <v>3226</v>
      </c>
    </row>
    <row r="21" spans="1:4" ht="18">
      <c r="A21" s="84" t="s">
        <v>61</v>
      </c>
      <c r="B21" s="84" t="s">
        <v>62</v>
      </c>
      <c r="C21" s="85" t="s">
        <v>63</v>
      </c>
      <c r="D21" s="86">
        <v>3418</v>
      </c>
    </row>
    <row r="22" spans="1:4" ht="18">
      <c r="A22" s="84" t="s">
        <v>64</v>
      </c>
      <c r="B22" s="84" t="s">
        <v>65</v>
      </c>
      <c r="C22" s="85" t="s">
        <v>66</v>
      </c>
      <c r="D22" s="86">
        <v>3725</v>
      </c>
    </row>
    <row r="23" spans="1:4" ht="18">
      <c r="A23" s="84" t="s">
        <v>67</v>
      </c>
      <c r="B23" s="84" t="s">
        <v>68</v>
      </c>
      <c r="C23" s="85" t="s">
        <v>69</v>
      </c>
      <c r="D23" s="86">
        <v>4080</v>
      </c>
    </row>
    <row r="24" spans="1:4" ht="18">
      <c r="A24" s="84" t="s">
        <v>70</v>
      </c>
      <c r="B24" s="84" t="s">
        <v>71</v>
      </c>
      <c r="C24" s="85" t="s">
        <v>72</v>
      </c>
      <c r="D24" s="86">
        <v>5123</v>
      </c>
    </row>
    <row r="25" spans="1:4" ht="18">
      <c r="A25" s="84" t="s">
        <v>73</v>
      </c>
      <c r="B25" s="84" t="s">
        <v>74</v>
      </c>
      <c r="C25" s="85" t="s">
        <v>75</v>
      </c>
      <c r="D25" s="86">
        <v>5165</v>
      </c>
    </row>
    <row r="26" spans="1:4" ht="18">
      <c r="A26" s="84" t="s">
        <v>76</v>
      </c>
      <c r="B26" s="84" t="s">
        <v>77</v>
      </c>
      <c r="C26" s="85" t="s">
        <v>78</v>
      </c>
      <c r="D26" s="86">
        <v>5332</v>
      </c>
    </row>
    <row r="27" spans="1:4" ht="18">
      <c r="A27" s="84" t="s">
        <v>79</v>
      </c>
      <c r="B27" s="84" t="s">
        <v>80</v>
      </c>
      <c r="C27" s="85" t="s">
        <v>81</v>
      </c>
      <c r="D27" s="86">
        <v>5672</v>
      </c>
    </row>
    <row r="28" spans="1:4" ht="18">
      <c r="A28" s="87" t="s">
        <v>82</v>
      </c>
      <c r="B28" s="87"/>
      <c r="C28" s="88" t="s">
        <v>83</v>
      </c>
      <c r="D28" s="89">
        <v>2850</v>
      </c>
    </row>
    <row r="29" spans="1:4" ht="18">
      <c r="A29" s="87" t="s">
        <v>84</v>
      </c>
      <c r="B29" s="87"/>
      <c r="C29" s="88" t="s">
        <v>85</v>
      </c>
      <c r="D29" s="89">
        <v>2950</v>
      </c>
    </row>
    <row r="30" spans="1:4" ht="18">
      <c r="A30" s="87" t="s">
        <v>86</v>
      </c>
      <c r="B30" s="87"/>
      <c r="C30" s="88" t="s">
        <v>87</v>
      </c>
      <c r="D30" s="89">
        <v>3350</v>
      </c>
    </row>
    <row r="31" spans="1:4" ht="18">
      <c r="A31" s="87" t="s">
        <v>88</v>
      </c>
      <c r="B31" s="87"/>
      <c r="C31" s="88" t="s">
        <v>89</v>
      </c>
      <c r="D31" s="89">
        <v>3850</v>
      </c>
    </row>
    <row r="32" spans="1:4" ht="18">
      <c r="A32" s="87" t="s">
        <v>90</v>
      </c>
      <c r="B32" s="87"/>
      <c r="C32" s="88" t="s">
        <v>91</v>
      </c>
      <c r="D32" s="89">
        <v>4050</v>
      </c>
    </row>
    <row r="33" spans="1:4" ht="18">
      <c r="A33" s="87" t="s">
        <v>92</v>
      </c>
      <c r="B33" s="87"/>
      <c r="C33" s="88" t="s">
        <v>93</v>
      </c>
      <c r="D33" s="89">
        <v>4250</v>
      </c>
    </row>
    <row r="34" spans="1:4" ht="18">
      <c r="A34" s="87" t="s">
        <v>94</v>
      </c>
      <c r="B34" s="87"/>
      <c r="C34" s="88" t="s">
        <v>95</v>
      </c>
      <c r="D34" s="89">
        <v>4550</v>
      </c>
    </row>
    <row r="35" spans="1:4" ht="18">
      <c r="A35" s="84" t="s">
        <v>96</v>
      </c>
      <c r="B35" s="84" t="s">
        <v>97</v>
      </c>
      <c r="C35" s="85" t="s">
        <v>98</v>
      </c>
      <c r="D35" s="86">
        <v>2412</v>
      </c>
    </row>
    <row r="36" spans="1:4" ht="18">
      <c r="A36" s="84" t="s">
        <v>99</v>
      </c>
      <c r="B36" s="84" t="s">
        <v>100</v>
      </c>
      <c r="C36" s="85" t="s">
        <v>101</v>
      </c>
      <c r="D36" s="86">
        <v>2558</v>
      </c>
    </row>
    <row r="37" spans="1:4" ht="18">
      <c r="A37" s="84" t="s">
        <v>102</v>
      </c>
      <c r="B37" s="84" t="s">
        <v>103</v>
      </c>
      <c r="C37" s="85" t="s">
        <v>104</v>
      </c>
      <c r="D37" s="86">
        <v>2896</v>
      </c>
    </row>
    <row r="38" spans="1:4" ht="18">
      <c r="A38" s="84" t="s">
        <v>105</v>
      </c>
      <c r="B38" s="84" t="s">
        <v>106</v>
      </c>
      <c r="C38" s="85" t="s">
        <v>107</v>
      </c>
      <c r="D38" s="86">
        <v>3280</v>
      </c>
    </row>
    <row r="39" spans="1:4" ht="18">
      <c r="A39" s="84" t="s">
        <v>108</v>
      </c>
      <c r="B39" s="84" t="s">
        <v>109</v>
      </c>
      <c r="C39" s="85" t="s">
        <v>110</v>
      </c>
      <c r="D39" s="86">
        <v>3520</v>
      </c>
    </row>
    <row r="40" spans="1:4" ht="18">
      <c r="A40" s="84" t="s">
        <v>111</v>
      </c>
      <c r="B40" s="84" t="s">
        <v>112</v>
      </c>
      <c r="C40" s="85" t="s">
        <v>113</v>
      </c>
      <c r="D40" s="86">
        <v>3907</v>
      </c>
    </row>
    <row r="41" spans="1:4" ht="18">
      <c r="A41" s="84" t="s">
        <v>114</v>
      </c>
      <c r="B41" s="84" t="s">
        <v>115</v>
      </c>
      <c r="C41" s="85" t="s">
        <v>116</v>
      </c>
      <c r="D41" s="86">
        <v>4318</v>
      </c>
    </row>
    <row r="42" spans="1:4" ht="18">
      <c r="A42" s="84" t="s">
        <v>117</v>
      </c>
      <c r="B42" s="84" t="s">
        <v>118</v>
      </c>
      <c r="C42" s="85" t="s">
        <v>119</v>
      </c>
      <c r="D42" s="86">
        <v>4623</v>
      </c>
    </row>
    <row r="43" spans="1:4" ht="19">
      <c r="A43" s="90" t="s">
        <v>120</v>
      </c>
      <c r="B43" s="90" t="s">
        <v>120</v>
      </c>
      <c r="C43" s="91" t="s">
        <v>121</v>
      </c>
      <c r="D43" s="86">
        <v>2062</v>
      </c>
    </row>
    <row r="44" spans="1:4" ht="19">
      <c r="A44" s="90" t="s">
        <v>122</v>
      </c>
      <c r="B44" s="90" t="s">
        <v>122</v>
      </c>
      <c r="C44" s="91" t="s">
        <v>123</v>
      </c>
      <c r="D44" s="86">
        <v>2196</v>
      </c>
    </row>
    <row r="45" spans="1:4" ht="19">
      <c r="A45" s="90" t="s">
        <v>124</v>
      </c>
      <c r="B45" s="90" t="s">
        <v>124</v>
      </c>
      <c r="C45" s="91" t="s">
        <v>125</v>
      </c>
      <c r="D45" s="86">
        <v>2358</v>
      </c>
    </row>
    <row r="46" spans="1:4" ht="19">
      <c r="A46" s="90" t="s">
        <v>126</v>
      </c>
      <c r="B46" s="90" t="s">
        <v>126</v>
      </c>
      <c r="C46" s="91" t="s">
        <v>127</v>
      </c>
      <c r="D46" s="86">
        <v>1523</v>
      </c>
    </row>
    <row r="47" spans="1:4" ht="19">
      <c r="A47" s="90" t="s">
        <v>128</v>
      </c>
      <c r="B47" s="90" t="s">
        <v>128</v>
      </c>
      <c r="C47" s="91" t="s">
        <v>129</v>
      </c>
      <c r="D47" s="86">
        <v>1538</v>
      </c>
    </row>
    <row r="48" spans="1:4" ht="19">
      <c r="A48" s="90" t="s">
        <v>130</v>
      </c>
      <c r="B48" s="90" t="s">
        <v>130</v>
      </c>
      <c r="C48" s="91" t="s">
        <v>131</v>
      </c>
      <c r="D48" s="86">
        <v>1729</v>
      </c>
    </row>
    <row r="49" spans="1:4" ht="19">
      <c r="A49" s="90" t="s">
        <v>132</v>
      </c>
      <c r="B49" s="90" t="s">
        <v>133</v>
      </c>
      <c r="C49" s="91" t="s">
        <v>134</v>
      </c>
      <c r="D49" s="86">
        <v>1872</v>
      </c>
    </row>
    <row r="50" spans="1:4" ht="19">
      <c r="A50" s="90" t="s">
        <v>135</v>
      </c>
      <c r="B50" s="90" t="s">
        <v>136</v>
      </c>
      <c r="C50" s="91" t="s">
        <v>137</v>
      </c>
      <c r="D50" s="86">
        <v>2139</v>
      </c>
    </row>
    <row r="51" spans="1:4" ht="19">
      <c r="A51" s="90" t="s">
        <v>138</v>
      </c>
      <c r="B51" s="90" t="s">
        <v>139</v>
      </c>
      <c r="C51" s="91" t="s">
        <v>140</v>
      </c>
      <c r="D51" s="86">
        <v>2841</v>
      </c>
    </row>
    <row r="52" spans="1:4" ht="19">
      <c r="A52" s="90" t="s">
        <v>141</v>
      </c>
      <c r="B52" s="90" t="s">
        <v>142</v>
      </c>
      <c r="C52" s="91" t="s">
        <v>143</v>
      </c>
      <c r="D52" s="86">
        <v>3056</v>
      </c>
    </row>
    <row r="53" spans="1:4" ht="18">
      <c r="A53" s="84" t="s">
        <v>144</v>
      </c>
      <c r="B53" s="84" t="s">
        <v>145</v>
      </c>
      <c r="C53" s="85" t="s">
        <v>146</v>
      </c>
      <c r="D53" s="86">
        <v>2618</v>
      </c>
    </row>
    <row r="54" spans="1:4" ht="18">
      <c r="A54" s="84" t="s">
        <v>147</v>
      </c>
      <c r="B54" s="84" t="s">
        <v>148</v>
      </c>
      <c r="C54" s="85" t="s">
        <v>149</v>
      </c>
      <c r="D54" s="86">
        <v>2865</v>
      </c>
    </row>
    <row r="55" spans="1:4" ht="18">
      <c r="A55" s="84" t="s">
        <v>150</v>
      </c>
      <c r="B55" s="84" t="s">
        <v>151</v>
      </c>
      <c r="C55" s="85" t="s">
        <v>152</v>
      </c>
      <c r="D55" s="86">
        <v>3121</v>
      </c>
    </row>
    <row r="56" spans="1:4" ht="18">
      <c r="A56" s="84" t="s">
        <v>153</v>
      </c>
      <c r="B56" s="84" t="s">
        <v>154</v>
      </c>
      <c r="C56" s="85" t="s">
        <v>155</v>
      </c>
      <c r="D56" s="86">
        <v>3689</v>
      </c>
    </row>
    <row r="57" spans="1:4" ht="18">
      <c r="A57" s="84" t="s">
        <v>156</v>
      </c>
      <c r="B57" s="84" t="s">
        <v>157</v>
      </c>
      <c r="C57" s="85" t="s">
        <v>158</v>
      </c>
      <c r="D57" s="86">
        <v>3832</v>
      </c>
    </row>
    <row r="58" spans="1:4" ht="18">
      <c r="A58" s="92" t="s">
        <v>159</v>
      </c>
      <c r="B58" s="92" t="s">
        <v>159</v>
      </c>
      <c r="C58" s="93" t="s">
        <v>160</v>
      </c>
      <c r="D58" s="86">
        <v>324</v>
      </c>
    </row>
    <row r="59" spans="1:4" ht="18">
      <c r="A59" s="84" t="s">
        <v>161</v>
      </c>
      <c r="B59" s="84" t="s">
        <v>161</v>
      </c>
      <c r="C59" s="85" t="s">
        <v>162</v>
      </c>
      <c r="D59" s="86">
        <v>337</v>
      </c>
    </row>
    <row r="60" spans="1:4" ht="18">
      <c r="A60" s="84" t="s">
        <v>163</v>
      </c>
      <c r="B60" s="84" t="s">
        <v>164</v>
      </c>
      <c r="C60" s="85" t="s">
        <v>165</v>
      </c>
      <c r="D60" s="86">
        <v>512</v>
      </c>
    </row>
    <row r="61" spans="1:4" ht="18">
      <c r="A61" s="84" t="s">
        <v>166</v>
      </c>
      <c r="B61" s="84" t="s">
        <v>166</v>
      </c>
      <c r="C61" s="85" t="s">
        <v>167</v>
      </c>
      <c r="D61" s="86">
        <v>719</v>
      </c>
    </row>
    <row r="62" spans="1:4" ht="18">
      <c r="A62" s="94" t="s">
        <v>168</v>
      </c>
      <c r="B62" s="94" t="s">
        <v>168</v>
      </c>
      <c r="C62" s="95" t="s">
        <v>169</v>
      </c>
      <c r="D62" s="86">
        <v>341</v>
      </c>
    </row>
    <row r="63" spans="1:4" ht="18">
      <c r="A63" s="94" t="s">
        <v>170</v>
      </c>
      <c r="B63" s="94" t="s">
        <v>170</v>
      </c>
      <c r="C63" s="95" t="s">
        <v>171</v>
      </c>
      <c r="D63" s="86">
        <v>534</v>
      </c>
    </row>
    <row r="64" spans="1:4" ht="19">
      <c r="A64" s="91" t="s">
        <v>172</v>
      </c>
      <c r="B64" s="91" t="s">
        <v>172</v>
      </c>
      <c r="C64" s="91" t="s">
        <v>173</v>
      </c>
      <c r="D64" s="86">
        <v>652</v>
      </c>
    </row>
    <row r="65" spans="1:4" ht="19">
      <c r="A65" s="91" t="s">
        <v>174</v>
      </c>
      <c r="B65" s="91" t="s">
        <v>174</v>
      </c>
      <c r="C65" s="91" t="s">
        <v>175</v>
      </c>
      <c r="D65" s="86">
        <v>845</v>
      </c>
    </row>
    <row r="66" spans="1:4" ht="19">
      <c r="A66" s="90" t="s">
        <v>176</v>
      </c>
      <c r="B66" s="90" t="s">
        <v>176</v>
      </c>
      <c r="C66" s="91" t="s">
        <v>177</v>
      </c>
      <c r="D66" s="86">
        <v>1015</v>
      </c>
    </row>
    <row r="67" spans="1:4" ht="18">
      <c r="A67" s="84" t="s">
        <v>178</v>
      </c>
      <c r="B67" s="84" t="s">
        <v>178</v>
      </c>
      <c r="C67" s="85" t="s">
        <v>179</v>
      </c>
      <c r="D67" s="86">
        <v>1108</v>
      </c>
    </row>
    <row r="68" spans="1:4" ht="18">
      <c r="A68" s="84" t="s">
        <v>180</v>
      </c>
      <c r="B68" s="84" t="s">
        <v>180</v>
      </c>
      <c r="C68" s="85" t="s">
        <v>181</v>
      </c>
      <c r="D68" s="86">
        <v>1247</v>
      </c>
    </row>
    <row r="69" spans="1:4" ht="18">
      <c r="A69" s="84" t="s">
        <v>182</v>
      </c>
      <c r="B69" s="84" t="s">
        <v>182</v>
      </c>
      <c r="C69" s="85" t="s">
        <v>183</v>
      </c>
      <c r="D69" s="86">
        <v>1015</v>
      </c>
    </row>
    <row r="70" spans="1:4" ht="18">
      <c r="A70" s="84" t="s">
        <v>184</v>
      </c>
      <c r="B70" s="84" t="s">
        <v>184</v>
      </c>
      <c r="C70" s="85" t="s">
        <v>185</v>
      </c>
      <c r="D70" s="86">
        <v>1108</v>
      </c>
    </row>
    <row r="71" spans="1:4" ht="18">
      <c r="A71" s="84" t="s">
        <v>186</v>
      </c>
      <c r="B71" s="84" t="s">
        <v>186</v>
      </c>
      <c r="C71" s="85" t="s">
        <v>187</v>
      </c>
      <c r="D71" s="86">
        <v>1247</v>
      </c>
    </row>
    <row r="72" spans="1:4" ht="18">
      <c r="A72" s="84" t="s">
        <v>188</v>
      </c>
      <c r="B72" s="84" t="s">
        <v>188</v>
      </c>
      <c r="C72" s="85" t="s">
        <v>189</v>
      </c>
      <c r="D72" s="86">
        <v>1325</v>
      </c>
    </row>
    <row r="73" spans="1:4" ht="18">
      <c r="A73" s="84" t="s">
        <v>190</v>
      </c>
      <c r="B73" s="84" t="s">
        <v>190</v>
      </c>
      <c r="C73" s="85" t="s">
        <v>191</v>
      </c>
      <c r="D73" s="86">
        <v>968</v>
      </c>
    </row>
    <row r="74" spans="1:4" ht="18">
      <c r="A74" s="84" t="s">
        <v>192</v>
      </c>
      <c r="B74" s="84" t="s">
        <v>192</v>
      </c>
      <c r="C74" s="85" t="s">
        <v>193</v>
      </c>
      <c r="D74" s="86">
        <v>976</v>
      </c>
    </row>
    <row r="75" spans="1:4" ht="18">
      <c r="A75" s="84" t="s">
        <v>194</v>
      </c>
      <c r="B75" s="84" t="s">
        <v>194</v>
      </c>
      <c r="C75" s="85" t="s">
        <v>195</v>
      </c>
      <c r="D75" s="86">
        <v>1077</v>
      </c>
    </row>
    <row r="76" spans="1:4" ht="18">
      <c r="A76" s="84" t="s">
        <v>196</v>
      </c>
      <c r="B76" s="84" t="s">
        <v>196</v>
      </c>
      <c r="C76" s="85" t="s">
        <v>197</v>
      </c>
      <c r="D76" s="86">
        <v>992</v>
      </c>
    </row>
    <row r="77" spans="1:4" ht="18">
      <c r="A77" s="84" t="s">
        <v>198</v>
      </c>
      <c r="B77" s="84" t="s">
        <v>198</v>
      </c>
      <c r="C77" s="85" t="s">
        <v>199</v>
      </c>
      <c r="D77" s="86">
        <v>988</v>
      </c>
    </row>
    <row r="78" spans="1:4" ht="18">
      <c r="A78" s="84" t="s">
        <v>200</v>
      </c>
      <c r="B78" s="84" t="s">
        <v>200</v>
      </c>
      <c r="C78" s="85" t="s">
        <v>201</v>
      </c>
      <c r="D78" s="86">
        <v>1123</v>
      </c>
    </row>
    <row r="79" spans="1:4" ht="18">
      <c r="A79" s="96"/>
      <c r="B79" s="96"/>
      <c r="C79" s="96"/>
      <c r="D79" s="86"/>
    </row>
    <row r="80" spans="1:4" ht="18">
      <c r="A80" s="84" t="s">
        <v>202</v>
      </c>
      <c r="B80" s="84" t="s">
        <v>203</v>
      </c>
      <c r="C80" s="85" t="s">
        <v>204</v>
      </c>
      <c r="D80" s="97">
        <v>188</v>
      </c>
    </row>
    <row r="81" spans="1:4" ht="18">
      <c r="A81" s="84" t="s">
        <v>205</v>
      </c>
      <c r="B81" s="84" t="s">
        <v>206</v>
      </c>
      <c r="C81" s="85" t="s">
        <v>207</v>
      </c>
      <c r="D81" s="97">
        <v>211</v>
      </c>
    </row>
    <row r="82" spans="1:4" ht="18">
      <c r="A82" s="84" t="s">
        <v>208</v>
      </c>
      <c r="B82" s="84" t="s">
        <v>209</v>
      </c>
      <c r="C82" s="85" t="s">
        <v>210</v>
      </c>
      <c r="D82" s="97">
        <v>230</v>
      </c>
    </row>
    <row r="83" spans="1:4" ht="18">
      <c r="A83" s="84" t="s">
        <v>211</v>
      </c>
      <c r="B83" s="84" t="s">
        <v>212</v>
      </c>
      <c r="C83" s="85" t="s">
        <v>213</v>
      </c>
      <c r="D83" s="97">
        <v>237</v>
      </c>
    </row>
    <row r="84" spans="1:4" ht="18">
      <c r="A84" s="84" t="s">
        <v>214</v>
      </c>
      <c r="B84" s="84" t="s">
        <v>215</v>
      </c>
      <c r="C84" s="85" t="s">
        <v>216</v>
      </c>
      <c r="D84" s="97">
        <v>259</v>
      </c>
    </row>
    <row r="85" spans="1:4" ht="18">
      <c r="A85" s="84" t="s">
        <v>217</v>
      </c>
      <c r="B85" s="84" t="s">
        <v>218</v>
      </c>
      <c r="C85" s="85" t="s">
        <v>219</v>
      </c>
      <c r="D85" s="97">
        <v>264</v>
      </c>
    </row>
    <row r="86" spans="1:4" ht="18">
      <c r="A86" s="84" t="s">
        <v>220</v>
      </c>
      <c r="B86" s="84" t="s">
        <v>221</v>
      </c>
      <c r="C86" s="85" t="s">
        <v>222</v>
      </c>
      <c r="D86" s="97">
        <v>271</v>
      </c>
    </row>
    <row r="87" spans="1:4" ht="18">
      <c r="A87" s="84" t="s">
        <v>223</v>
      </c>
      <c r="B87" s="84" t="s">
        <v>224</v>
      </c>
      <c r="C87" s="85" t="s">
        <v>225</v>
      </c>
      <c r="D87" s="86">
        <v>289</v>
      </c>
    </row>
    <row r="88" spans="1:4" ht="18">
      <c r="A88" s="84" t="s">
        <v>226</v>
      </c>
      <c r="B88" s="84" t="s">
        <v>227</v>
      </c>
      <c r="C88" s="85" t="s">
        <v>228</v>
      </c>
      <c r="D88" s="86">
        <v>307</v>
      </c>
    </row>
    <row r="89" spans="1:4" ht="18">
      <c r="A89" s="84" t="s">
        <v>229</v>
      </c>
      <c r="B89" s="84" t="s">
        <v>230</v>
      </c>
      <c r="C89" s="85" t="s">
        <v>231</v>
      </c>
      <c r="D89" s="86">
        <v>315</v>
      </c>
    </row>
    <row r="90" spans="1:4" ht="18">
      <c r="A90" s="84" t="s">
        <v>232</v>
      </c>
      <c r="B90" s="84" t="s">
        <v>233</v>
      </c>
      <c r="C90" s="85" t="s">
        <v>234</v>
      </c>
      <c r="D90" s="86">
        <v>323</v>
      </c>
    </row>
    <row r="91" spans="1:4" ht="18">
      <c r="A91" s="84" t="s">
        <v>235</v>
      </c>
      <c r="B91" s="84" t="s">
        <v>236</v>
      </c>
      <c r="C91" s="85" t="s">
        <v>237</v>
      </c>
      <c r="D91" s="86">
        <v>336</v>
      </c>
    </row>
    <row r="92" spans="1:4" ht="18">
      <c r="A92" s="84" t="s">
        <v>238</v>
      </c>
      <c r="B92" s="84" t="s">
        <v>239</v>
      </c>
      <c r="C92" s="85" t="s">
        <v>240</v>
      </c>
      <c r="D92" s="86">
        <v>346</v>
      </c>
    </row>
    <row r="93" spans="1:4" ht="18">
      <c r="A93" s="84" t="s">
        <v>241</v>
      </c>
      <c r="B93" s="84" t="s">
        <v>242</v>
      </c>
      <c r="C93" s="85" t="s">
        <v>243</v>
      </c>
      <c r="D93" s="97">
        <v>208</v>
      </c>
    </row>
    <row r="94" spans="1:4" ht="18">
      <c r="A94" s="84" t="s">
        <v>244</v>
      </c>
      <c r="B94" s="84" t="s">
        <v>245</v>
      </c>
      <c r="C94" s="85" t="s">
        <v>246</v>
      </c>
      <c r="D94" s="97">
        <v>211</v>
      </c>
    </row>
    <row r="95" spans="1:4" ht="18">
      <c r="A95" s="84" t="s">
        <v>247</v>
      </c>
      <c r="B95" s="84" t="s">
        <v>248</v>
      </c>
      <c r="C95" s="85" t="s">
        <v>249</v>
      </c>
      <c r="D95" s="97">
        <v>230</v>
      </c>
    </row>
    <row r="96" spans="1:4" ht="18">
      <c r="A96" s="84" t="s">
        <v>250</v>
      </c>
      <c r="B96" s="84" t="s">
        <v>251</v>
      </c>
      <c r="C96" s="85" t="s">
        <v>252</v>
      </c>
      <c r="D96" s="97">
        <v>237</v>
      </c>
    </row>
    <row r="97" spans="1:4" ht="18">
      <c r="A97" s="84"/>
      <c r="B97" s="84"/>
      <c r="C97" s="85"/>
      <c r="D97" s="97">
        <v>30</v>
      </c>
    </row>
    <row r="98" spans="1:4" ht="18">
      <c r="A98" s="84" t="s">
        <v>253</v>
      </c>
      <c r="B98" s="84" t="s">
        <v>254</v>
      </c>
      <c r="C98" s="85" t="s">
        <v>255</v>
      </c>
      <c r="D98" s="86">
        <v>184</v>
      </c>
    </row>
    <row r="99" spans="1:4" ht="18">
      <c r="A99" s="84" t="s">
        <v>256</v>
      </c>
      <c r="B99" s="84" t="s">
        <v>257</v>
      </c>
      <c r="C99" s="85" t="s">
        <v>258</v>
      </c>
      <c r="D99" s="86">
        <v>193</v>
      </c>
    </row>
    <row r="100" spans="1:4" ht="18">
      <c r="A100" s="84" t="s">
        <v>259</v>
      </c>
      <c r="B100" s="84" t="s">
        <v>260</v>
      </c>
      <c r="C100" s="85" t="s">
        <v>261</v>
      </c>
      <c r="D100" s="86">
        <v>229</v>
      </c>
    </row>
    <row r="101" spans="1:4" ht="18">
      <c r="A101" s="84" t="s">
        <v>262</v>
      </c>
      <c r="B101" s="84" t="s">
        <v>263</v>
      </c>
      <c r="C101" s="85" t="s">
        <v>264</v>
      </c>
      <c r="D101" s="86">
        <v>235</v>
      </c>
    </row>
    <row r="102" spans="1:4" ht="18">
      <c r="A102" s="84" t="s">
        <v>265</v>
      </c>
      <c r="B102" s="84" t="s">
        <v>266</v>
      </c>
      <c r="C102" s="85" t="s">
        <v>267</v>
      </c>
      <c r="D102" s="86">
        <v>289</v>
      </c>
    </row>
    <row r="103" spans="1:4" ht="18">
      <c r="A103" s="84" t="s">
        <v>268</v>
      </c>
      <c r="B103" s="84" t="s">
        <v>269</v>
      </c>
      <c r="C103" s="85" t="s">
        <v>270</v>
      </c>
      <c r="D103" s="86">
        <v>301</v>
      </c>
    </row>
    <row r="104" spans="1:4" ht="18">
      <c r="A104" s="84" t="s">
        <v>271</v>
      </c>
      <c r="B104" s="84" t="s">
        <v>272</v>
      </c>
      <c r="C104" s="85" t="s">
        <v>273</v>
      </c>
      <c r="D104" s="86">
        <v>309</v>
      </c>
    </row>
    <row r="105" spans="1:4" ht="18">
      <c r="A105" s="84" t="s">
        <v>274</v>
      </c>
      <c r="B105" s="84" t="s">
        <v>275</v>
      </c>
      <c r="C105" s="85" t="s">
        <v>276</v>
      </c>
      <c r="D105" s="86">
        <v>328</v>
      </c>
    </row>
    <row r="106" spans="1:4" ht="18">
      <c r="A106" s="84" t="s">
        <v>277</v>
      </c>
      <c r="B106" s="84" t="s">
        <v>278</v>
      </c>
      <c r="C106" s="85" t="s">
        <v>279</v>
      </c>
      <c r="D106" s="86">
        <v>386</v>
      </c>
    </row>
    <row r="107" spans="1:4" ht="18">
      <c r="A107" s="84" t="s">
        <v>280</v>
      </c>
      <c r="B107" s="84" t="s">
        <v>281</v>
      </c>
      <c r="C107" s="85" t="s">
        <v>282</v>
      </c>
      <c r="D107" s="86">
        <v>410</v>
      </c>
    </row>
    <row r="108" spans="1:4" ht="18">
      <c r="A108" s="84" t="s">
        <v>283</v>
      </c>
      <c r="B108" s="84" t="s">
        <v>284</v>
      </c>
      <c r="C108" s="85" t="s">
        <v>285</v>
      </c>
      <c r="D108" s="86">
        <v>55</v>
      </c>
    </row>
    <row r="109" spans="1:4" ht="18">
      <c r="A109" s="84" t="s">
        <v>286</v>
      </c>
      <c r="B109" s="84" t="s">
        <v>287</v>
      </c>
      <c r="C109" s="85" t="s">
        <v>288</v>
      </c>
      <c r="D109" s="97">
        <v>178</v>
      </c>
    </row>
    <row r="110" spans="1:4" ht="18">
      <c r="A110" s="84" t="s">
        <v>289</v>
      </c>
      <c r="B110" s="84" t="s">
        <v>290</v>
      </c>
      <c r="C110" s="85" t="s">
        <v>291</v>
      </c>
      <c r="D110" s="97">
        <v>181</v>
      </c>
    </row>
    <row r="111" spans="1:4" ht="18">
      <c r="A111" s="84" t="s">
        <v>292</v>
      </c>
      <c r="B111" s="84" t="s">
        <v>293</v>
      </c>
      <c r="C111" s="85" t="s">
        <v>294</v>
      </c>
      <c r="D111" s="97">
        <v>184</v>
      </c>
    </row>
    <row r="112" spans="1:4" ht="18">
      <c r="A112" s="84" t="s">
        <v>295</v>
      </c>
      <c r="B112" s="84" t="s">
        <v>296</v>
      </c>
      <c r="C112" s="85" t="s">
        <v>297</v>
      </c>
      <c r="D112" s="97">
        <v>214</v>
      </c>
    </row>
    <row r="113" spans="1:4" ht="18">
      <c r="A113" s="84" t="s">
        <v>298</v>
      </c>
      <c r="B113" s="84" t="s">
        <v>299</v>
      </c>
      <c r="C113" s="85" t="s">
        <v>300</v>
      </c>
      <c r="D113" s="97">
        <v>219</v>
      </c>
    </row>
    <row r="114" spans="1:4" ht="18">
      <c r="A114" s="84" t="s">
        <v>301</v>
      </c>
      <c r="B114" s="84" t="s">
        <v>302</v>
      </c>
      <c r="C114" s="85" t="s">
        <v>303</v>
      </c>
      <c r="D114" s="97">
        <v>241</v>
      </c>
    </row>
    <row r="115" spans="1:4" ht="18">
      <c r="A115" s="84" t="s">
        <v>304</v>
      </c>
      <c r="B115" s="84" t="s">
        <v>305</v>
      </c>
      <c r="C115" s="85" t="s">
        <v>306</v>
      </c>
      <c r="D115" s="97">
        <v>250</v>
      </c>
    </row>
    <row r="116" spans="1:4" ht="18">
      <c r="A116" s="84" t="s">
        <v>307</v>
      </c>
      <c r="B116" s="84" t="s">
        <v>308</v>
      </c>
      <c r="C116" s="85" t="s">
        <v>309</v>
      </c>
      <c r="D116" s="97">
        <v>269</v>
      </c>
    </row>
    <row r="117" spans="1:4" ht="18">
      <c r="A117" s="84" t="s">
        <v>310</v>
      </c>
      <c r="B117" s="84" t="s">
        <v>311</v>
      </c>
      <c r="C117" s="85" t="s">
        <v>312</v>
      </c>
      <c r="D117" s="97">
        <v>295</v>
      </c>
    </row>
    <row r="118" spans="1:4" ht="18">
      <c r="A118" s="84" t="s">
        <v>313</v>
      </c>
      <c r="B118" s="84" t="s">
        <v>314</v>
      </c>
      <c r="C118" s="85" t="s">
        <v>315</v>
      </c>
      <c r="D118" s="97">
        <v>304</v>
      </c>
    </row>
    <row r="119" spans="1:4" ht="18">
      <c r="A119" s="84" t="s">
        <v>316</v>
      </c>
      <c r="B119" s="84" t="s">
        <v>317</v>
      </c>
      <c r="C119" s="85" t="s">
        <v>318</v>
      </c>
      <c r="D119" s="97">
        <v>292</v>
      </c>
    </row>
    <row r="120" spans="1:4" ht="18">
      <c r="A120" s="84" t="s">
        <v>319</v>
      </c>
      <c r="B120" s="84" t="s">
        <v>320</v>
      </c>
      <c r="C120" s="85" t="s">
        <v>321</v>
      </c>
      <c r="D120" s="97">
        <v>310</v>
      </c>
    </row>
    <row r="121" spans="1:4" ht="18">
      <c r="A121" s="84" t="s">
        <v>322</v>
      </c>
      <c r="B121" s="84" t="s">
        <v>323</v>
      </c>
      <c r="C121" s="85" t="s">
        <v>324</v>
      </c>
      <c r="D121" s="97">
        <v>338</v>
      </c>
    </row>
    <row r="122" spans="1:4" ht="18">
      <c r="A122" s="84" t="s">
        <v>325</v>
      </c>
      <c r="B122" s="84" t="s">
        <v>326</v>
      </c>
      <c r="C122" s="85" t="s">
        <v>327</v>
      </c>
      <c r="D122" s="97">
        <v>353</v>
      </c>
    </row>
    <row r="123" spans="1:4" ht="18">
      <c r="A123" s="84" t="s">
        <v>328</v>
      </c>
      <c r="B123" s="84" t="s">
        <v>329</v>
      </c>
      <c r="C123" s="85" t="s">
        <v>330</v>
      </c>
      <c r="D123" s="97">
        <v>388</v>
      </c>
    </row>
    <row r="124" spans="1:4" ht="18">
      <c r="A124" s="84" t="s">
        <v>331</v>
      </c>
      <c r="B124" s="84" t="s">
        <v>332</v>
      </c>
      <c r="C124" s="85" t="s">
        <v>333</v>
      </c>
      <c r="D124" s="97">
        <v>417</v>
      </c>
    </row>
    <row r="125" spans="1:4" ht="18">
      <c r="A125" s="84" t="s">
        <v>334</v>
      </c>
      <c r="B125" s="84" t="s">
        <v>335</v>
      </c>
      <c r="C125" s="85" t="s">
        <v>336</v>
      </c>
      <c r="D125" s="97">
        <v>549</v>
      </c>
    </row>
    <row r="126" spans="1:4" ht="18">
      <c r="A126" s="84" t="s">
        <v>337</v>
      </c>
      <c r="B126" s="84" t="s">
        <v>338</v>
      </c>
      <c r="C126" s="85" t="s">
        <v>339</v>
      </c>
      <c r="D126" s="97">
        <v>556</v>
      </c>
    </row>
    <row r="127" spans="1:4" ht="18">
      <c r="A127" s="84" t="s">
        <v>340</v>
      </c>
      <c r="B127" s="84" t="s">
        <v>341</v>
      </c>
      <c r="C127" s="85" t="s">
        <v>342</v>
      </c>
      <c r="D127" s="97">
        <v>566</v>
      </c>
    </row>
    <row r="128" spans="1:4" ht="18">
      <c r="A128" s="84" t="s">
        <v>343</v>
      </c>
      <c r="B128" s="84" t="s">
        <v>344</v>
      </c>
      <c r="C128" s="85" t="s">
        <v>345</v>
      </c>
      <c r="D128" s="97">
        <v>1226</v>
      </c>
    </row>
    <row r="129" spans="1:4" ht="18">
      <c r="A129" s="84" t="s">
        <v>346</v>
      </c>
      <c r="B129" s="84" t="s">
        <v>347</v>
      </c>
      <c r="C129" s="85" t="s">
        <v>348</v>
      </c>
      <c r="D129" s="97">
        <v>1256</v>
      </c>
    </row>
    <row r="130" spans="1:4" ht="18">
      <c r="A130" s="84" t="s">
        <v>349</v>
      </c>
      <c r="B130" s="84" t="s">
        <v>350</v>
      </c>
      <c r="C130" s="85" t="s">
        <v>351</v>
      </c>
      <c r="D130" s="97">
        <v>1278</v>
      </c>
    </row>
    <row r="131" spans="1:4" ht="18">
      <c r="A131" s="84" t="s">
        <v>352</v>
      </c>
      <c r="B131" s="84" t="s">
        <v>353</v>
      </c>
      <c r="C131" s="85" t="s">
        <v>354</v>
      </c>
      <c r="D131" s="97">
        <v>445</v>
      </c>
    </row>
    <row r="132" spans="1:4" ht="18">
      <c r="A132" s="84" t="s">
        <v>355</v>
      </c>
      <c r="B132" s="84" t="s">
        <v>356</v>
      </c>
      <c r="C132" s="85" t="s">
        <v>357</v>
      </c>
      <c r="D132" s="97">
        <v>459</v>
      </c>
    </row>
    <row r="133" spans="1:4" ht="18">
      <c r="A133" s="84" t="s">
        <v>358</v>
      </c>
      <c r="B133" s="84" t="s">
        <v>359</v>
      </c>
      <c r="C133" s="85" t="s">
        <v>360</v>
      </c>
      <c r="D133" s="97">
        <v>762</v>
      </c>
    </row>
    <row r="134" spans="1:4" ht="18">
      <c r="A134" s="84" t="s">
        <v>361</v>
      </c>
      <c r="B134" s="84" t="s">
        <v>362</v>
      </c>
      <c r="C134" s="85" t="s">
        <v>363</v>
      </c>
      <c r="D134" s="97">
        <v>778</v>
      </c>
    </row>
    <row r="135" spans="1:4" ht="18">
      <c r="A135" s="84" t="s">
        <v>364</v>
      </c>
      <c r="B135" s="84" t="s">
        <v>365</v>
      </c>
      <c r="C135" s="85" t="s">
        <v>366</v>
      </c>
      <c r="D135" s="97">
        <v>788</v>
      </c>
    </row>
    <row r="136" spans="1:4" ht="18">
      <c r="A136" s="84" t="s">
        <v>367</v>
      </c>
      <c r="B136" s="84" t="s">
        <v>368</v>
      </c>
      <c r="C136" s="85" t="s">
        <v>369</v>
      </c>
      <c r="D136" s="97">
        <v>1371</v>
      </c>
    </row>
    <row r="137" spans="1:4" ht="18">
      <c r="A137" s="84" t="s">
        <v>370</v>
      </c>
      <c r="B137" s="84" t="s">
        <v>371</v>
      </c>
      <c r="C137" s="85" t="s">
        <v>372</v>
      </c>
      <c r="D137" s="97">
        <v>1457</v>
      </c>
    </row>
    <row r="138" spans="1:4" ht="18">
      <c r="A138" s="84" t="s">
        <v>373</v>
      </c>
      <c r="B138" s="84" t="s">
        <v>374</v>
      </c>
      <c r="C138" s="85" t="s">
        <v>375</v>
      </c>
      <c r="D138" s="97">
        <v>162</v>
      </c>
    </row>
    <row r="139" spans="1:4" ht="18">
      <c r="A139" s="84" t="s">
        <v>376</v>
      </c>
      <c r="B139" s="84" t="s">
        <v>377</v>
      </c>
      <c r="C139" s="85" t="s">
        <v>378</v>
      </c>
      <c r="D139" s="97">
        <v>170</v>
      </c>
    </row>
    <row r="140" spans="1:4" ht="18">
      <c r="A140" s="84" t="s">
        <v>379</v>
      </c>
      <c r="B140" s="84" t="s">
        <v>380</v>
      </c>
      <c r="C140" s="85" t="s">
        <v>381</v>
      </c>
      <c r="D140" s="97">
        <v>189</v>
      </c>
    </row>
    <row r="141" spans="1:4" ht="18">
      <c r="A141" s="84" t="s">
        <v>382</v>
      </c>
      <c r="B141" s="84" t="s">
        <v>383</v>
      </c>
      <c r="C141" s="85" t="s">
        <v>384</v>
      </c>
      <c r="D141" s="97">
        <v>209</v>
      </c>
    </row>
    <row r="142" spans="1:4" ht="18">
      <c r="A142" s="84" t="s">
        <v>385</v>
      </c>
      <c r="B142" s="84" t="s">
        <v>386</v>
      </c>
      <c r="C142" s="85" t="s">
        <v>387</v>
      </c>
      <c r="D142" s="97">
        <v>218</v>
      </c>
    </row>
    <row r="143" spans="1:4" ht="18">
      <c r="A143" s="84" t="s">
        <v>388</v>
      </c>
      <c r="B143" s="84" t="s">
        <v>389</v>
      </c>
      <c r="C143" s="85" t="s">
        <v>390</v>
      </c>
      <c r="D143" s="97">
        <v>233</v>
      </c>
    </row>
    <row r="144" spans="1:4" ht="18">
      <c r="A144" s="84" t="s">
        <v>391</v>
      </c>
      <c r="B144" s="84" t="s">
        <v>392</v>
      </c>
      <c r="C144" s="85" t="s">
        <v>393</v>
      </c>
      <c r="D144" s="97">
        <v>240</v>
      </c>
    </row>
    <row r="145" spans="1:4" ht="18">
      <c r="A145" s="84" t="s">
        <v>394</v>
      </c>
      <c r="B145" s="84" t="s">
        <v>395</v>
      </c>
      <c r="C145" s="85" t="s">
        <v>396</v>
      </c>
      <c r="D145" s="97">
        <v>255</v>
      </c>
    </row>
    <row r="146" spans="1:4" ht="18">
      <c r="A146" s="84" t="s">
        <v>397</v>
      </c>
      <c r="B146" s="84" t="s">
        <v>398</v>
      </c>
      <c r="C146" s="85" t="s">
        <v>399</v>
      </c>
      <c r="D146" s="97">
        <v>248</v>
      </c>
    </row>
    <row r="147" spans="1:4" ht="18">
      <c r="A147" s="84" t="s">
        <v>400</v>
      </c>
      <c r="B147" s="84" t="s">
        <v>401</v>
      </c>
      <c r="C147" s="85" t="s">
        <v>402</v>
      </c>
      <c r="D147" s="97">
        <v>258</v>
      </c>
    </row>
    <row r="148" spans="1:4" ht="18">
      <c r="A148" s="84" t="s">
        <v>403</v>
      </c>
      <c r="B148" s="84" t="s">
        <v>404</v>
      </c>
      <c r="C148" s="85" t="s">
        <v>405</v>
      </c>
      <c r="D148" s="97">
        <v>264</v>
      </c>
    </row>
    <row r="149" spans="1:4" ht="18">
      <c r="A149" s="84" t="s">
        <v>406</v>
      </c>
      <c r="B149" s="84" t="s">
        <v>407</v>
      </c>
      <c r="C149" s="85" t="s">
        <v>408</v>
      </c>
      <c r="D149" s="97">
        <v>282</v>
      </c>
    </row>
    <row r="150" spans="1:4" ht="18">
      <c r="A150" s="84" t="s">
        <v>409</v>
      </c>
      <c r="B150" s="84" t="s">
        <v>410</v>
      </c>
      <c r="C150" s="85" t="s">
        <v>411</v>
      </c>
      <c r="D150" s="97">
        <v>292</v>
      </c>
    </row>
    <row r="151" spans="1:4" ht="18">
      <c r="A151" s="84" t="s">
        <v>412</v>
      </c>
      <c r="B151" s="84" t="s">
        <v>413</v>
      </c>
      <c r="C151" s="85" t="s">
        <v>414</v>
      </c>
      <c r="D151" s="97">
        <v>312</v>
      </c>
    </row>
    <row r="152" spans="1:4" ht="18">
      <c r="A152" s="84" t="s">
        <v>415</v>
      </c>
      <c r="B152" s="84" t="s">
        <v>416</v>
      </c>
      <c r="C152" s="85" t="s">
        <v>417</v>
      </c>
      <c r="D152" s="97">
        <v>346</v>
      </c>
    </row>
    <row r="153" spans="1:4" ht="18">
      <c r="A153" s="84" t="s">
        <v>418</v>
      </c>
      <c r="B153" s="84" t="s">
        <v>419</v>
      </c>
      <c r="C153" s="85" t="s">
        <v>420</v>
      </c>
      <c r="D153" s="97">
        <v>353</v>
      </c>
    </row>
    <row r="154" spans="1:4" ht="18">
      <c r="A154" s="84" t="s">
        <v>421</v>
      </c>
      <c r="B154" s="84" t="s">
        <v>422</v>
      </c>
      <c r="C154" s="85" t="s">
        <v>423</v>
      </c>
      <c r="D154" s="86">
        <v>181</v>
      </c>
    </row>
    <row r="155" spans="1:4" ht="18">
      <c r="A155" s="84" t="s">
        <v>424</v>
      </c>
      <c r="B155" s="84" t="s">
        <v>425</v>
      </c>
      <c r="C155" s="85" t="s">
        <v>426</v>
      </c>
      <c r="D155" s="86">
        <v>183</v>
      </c>
    </row>
    <row r="156" spans="1:4" ht="18">
      <c r="A156" s="84" t="s">
        <v>427</v>
      </c>
      <c r="B156" s="84" t="s">
        <v>428</v>
      </c>
      <c r="C156" s="85" t="s">
        <v>429</v>
      </c>
      <c r="D156" s="86">
        <v>205</v>
      </c>
    </row>
    <row r="157" spans="1:4" ht="18">
      <c r="A157" s="84" t="s">
        <v>430</v>
      </c>
      <c r="B157" s="84" t="s">
        <v>431</v>
      </c>
      <c r="C157" s="85" t="s">
        <v>432</v>
      </c>
      <c r="D157" s="86">
        <v>217</v>
      </c>
    </row>
    <row r="158" spans="1:4" ht="18">
      <c r="A158" s="84" t="s">
        <v>433</v>
      </c>
      <c r="B158" s="84" t="s">
        <v>434</v>
      </c>
      <c r="C158" s="85" t="s">
        <v>435</v>
      </c>
      <c r="D158" s="86">
        <v>235</v>
      </c>
    </row>
    <row r="159" spans="1:4" ht="18">
      <c r="A159" s="84" t="s">
        <v>436</v>
      </c>
      <c r="B159" s="84" t="s">
        <v>437</v>
      </c>
      <c r="C159" s="85" t="s">
        <v>438</v>
      </c>
      <c r="D159" s="86">
        <v>242</v>
      </c>
    </row>
    <row r="160" spans="1:4" ht="18">
      <c r="A160" s="84" t="s">
        <v>439</v>
      </c>
      <c r="B160" s="84" t="s">
        <v>440</v>
      </c>
      <c r="C160" s="85" t="s">
        <v>441</v>
      </c>
      <c r="D160" s="86">
        <v>260</v>
      </c>
    </row>
    <row r="161" spans="1:4" ht="18">
      <c r="A161" s="84" t="s">
        <v>442</v>
      </c>
      <c r="B161" s="84" t="s">
        <v>443</v>
      </c>
      <c r="C161" s="85" t="s">
        <v>444</v>
      </c>
      <c r="D161" s="86">
        <v>199</v>
      </c>
    </row>
    <row r="162" spans="1:4" ht="18">
      <c r="A162" s="84" t="s">
        <v>445</v>
      </c>
      <c r="B162" s="84" t="s">
        <v>446</v>
      </c>
      <c r="C162" s="85" t="s">
        <v>447</v>
      </c>
      <c r="D162" s="86">
        <v>201</v>
      </c>
    </row>
    <row r="163" spans="1:4" ht="18">
      <c r="A163" s="84" t="s">
        <v>448</v>
      </c>
      <c r="B163" s="84" t="s">
        <v>449</v>
      </c>
      <c r="C163" s="85" t="s">
        <v>450</v>
      </c>
      <c r="D163" s="86">
        <v>221</v>
      </c>
    </row>
    <row r="164" spans="1:4" ht="18">
      <c r="A164" s="84" t="s">
        <v>451</v>
      </c>
      <c r="B164" s="84" t="s">
        <v>452</v>
      </c>
      <c r="C164" s="85" t="s">
        <v>453</v>
      </c>
      <c r="D164" s="86">
        <v>235</v>
      </c>
    </row>
    <row r="165" spans="1:4" ht="18">
      <c r="A165" s="84" t="s">
        <v>454</v>
      </c>
      <c r="B165" s="84" t="s">
        <v>455</v>
      </c>
      <c r="C165" s="85" t="s">
        <v>456</v>
      </c>
      <c r="D165" s="86">
        <v>252</v>
      </c>
    </row>
    <row r="166" spans="1:4" ht="18">
      <c r="A166" s="84" t="s">
        <v>457</v>
      </c>
      <c r="B166" s="84" t="s">
        <v>458</v>
      </c>
      <c r="C166" s="85" t="s">
        <v>459</v>
      </c>
      <c r="D166" s="86">
        <v>260</v>
      </c>
    </row>
    <row r="167" spans="1:4" ht="18">
      <c r="A167" s="84" t="s">
        <v>460</v>
      </c>
      <c r="B167" s="84" t="s">
        <v>461</v>
      </c>
      <c r="C167" s="85" t="s">
        <v>462</v>
      </c>
      <c r="D167" s="86">
        <v>278</v>
      </c>
    </row>
    <row r="168" spans="1:4" ht="18">
      <c r="A168" s="84" t="s">
        <v>463</v>
      </c>
      <c r="B168" s="84" t="s">
        <v>464</v>
      </c>
      <c r="C168" s="85" t="s">
        <v>465</v>
      </c>
      <c r="D168" s="86">
        <v>198</v>
      </c>
    </row>
    <row r="169" spans="1:4" ht="18">
      <c r="A169" s="84" t="s">
        <v>466</v>
      </c>
      <c r="B169" s="84" t="s">
        <v>467</v>
      </c>
      <c r="C169" s="85" t="s">
        <v>468</v>
      </c>
      <c r="D169" s="86">
        <v>201</v>
      </c>
    </row>
    <row r="170" spans="1:4" ht="18">
      <c r="A170" s="84" t="s">
        <v>469</v>
      </c>
      <c r="B170" s="84" t="s">
        <v>470</v>
      </c>
      <c r="C170" s="85" t="s">
        <v>471</v>
      </c>
      <c r="D170" s="86">
        <v>221</v>
      </c>
    </row>
    <row r="171" spans="1:4" ht="18">
      <c r="A171" s="84" t="s">
        <v>472</v>
      </c>
      <c r="B171" s="84" t="s">
        <v>473</v>
      </c>
      <c r="C171" s="85" t="s">
        <v>474</v>
      </c>
      <c r="D171" s="86">
        <v>235</v>
      </c>
    </row>
    <row r="172" spans="1:4" ht="18">
      <c r="A172" s="84" t="s">
        <v>475</v>
      </c>
      <c r="B172" s="84" t="s">
        <v>476</v>
      </c>
      <c r="C172" s="85" t="s">
        <v>477</v>
      </c>
      <c r="D172" s="86">
        <v>252</v>
      </c>
    </row>
    <row r="173" spans="1:4" ht="18">
      <c r="A173" s="84" t="s">
        <v>478</v>
      </c>
      <c r="B173" s="84" t="s">
        <v>479</v>
      </c>
      <c r="C173" s="85" t="s">
        <v>480</v>
      </c>
      <c r="D173" s="86">
        <v>260</v>
      </c>
    </row>
    <row r="174" spans="1:4" ht="18">
      <c r="A174" s="84" t="s">
        <v>481</v>
      </c>
      <c r="B174" s="84" t="s">
        <v>482</v>
      </c>
      <c r="C174" s="85" t="s">
        <v>483</v>
      </c>
      <c r="D174" s="86">
        <v>278</v>
      </c>
    </row>
    <row r="175" spans="1:4" ht="18">
      <c r="A175" s="84" t="s">
        <v>484</v>
      </c>
      <c r="B175" s="84" t="s">
        <v>485</v>
      </c>
      <c r="C175" s="85" t="s">
        <v>486</v>
      </c>
      <c r="D175" s="86">
        <v>269</v>
      </c>
    </row>
    <row r="176" spans="1:4" ht="18">
      <c r="A176" s="84" t="s">
        <v>487</v>
      </c>
      <c r="B176" s="84" t="s">
        <v>488</v>
      </c>
      <c r="C176" s="85" t="s">
        <v>489</v>
      </c>
      <c r="D176" s="86">
        <v>276</v>
      </c>
    </row>
    <row r="177" spans="1:5" ht="18">
      <c r="A177" s="84" t="s">
        <v>490</v>
      </c>
      <c r="B177" s="84" t="s">
        <v>491</v>
      </c>
      <c r="C177" s="85" t="s">
        <v>492</v>
      </c>
      <c r="D177" s="86">
        <v>287</v>
      </c>
    </row>
    <row r="178" spans="1:5" ht="18">
      <c r="A178" s="84" t="s">
        <v>493</v>
      </c>
      <c r="B178" s="84" t="s">
        <v>494</v>
      </c>
      <c r="C178" s="85" t="s">
        <v>495</v>
      </c>
      <c r="D178" s="86">
        <v>298</v>
      </c>
    </row>
    <row r="179" spans="1:5" ht="18">
      <c r="A179" s="84" t="s">
        <v>496</v>
      </c>
      <c r="B179" s="84" t="s">
        <v>497</v>
      </c>
      <c r="C179" s="85" t="s">
        <v>498</v>
      </c>
      <c r="D179" s="84">
        <v>115</v>
      </c>
      <c r="E179" s="86">
        <v>148</v>
      </c>
    </row>
    <row r="180" spans="1:5" ht="18">
      <c r="A180" s="84" t="s">
        <v>499</v>
      </c>
      <c r="B180" s="84" t="s">
        <v>500</v>
      </c>
      <c r="C180" s="85" t="s">
        <v>501</v>
      </c>
      <c r="D180" s="84">
        <v>128</v>
      </c>
      <c r="E180" s="86">
        <v>156</v>
      </c>
    </row>
    <row r="181" spans="1:5" ht="18">
      <c r="A181" s="84" t="s">
        <v>502</v>
      </c>
      <c r="B181" s="84" t="s">
        <v>503</v>
      </c>
      <c r="C181" s="85" t="s">
        <v>504</v>
      </c>
      <c r="D181" s="84">
        <v>142</v>
      </c>
      <c r="E181" s="86">
        <v>173</v>
      </c>
    </row>
    <row r="182" spans="1:5" ht="18">
      <c r="A182" s="84" t="s">
        <v>505</v>
      </c>
      <c r="B182" s="84" t="s">
        <v>506</v>
      </c>
      <c r="C182" s="85" t="s">
        <v>507</v>
      </c>
      <c r="D182" s="84">
        <v>165</v>
      </c>
      <c r="E182" s="86">
        <v>196</v>
      </c>
    </row>
    <row r="183" spans="1:5" ht="18">
      <c r="A183" s="84" t="s">
        <v>508</v>
      </c>
      <c r="B183" s="84" t="s">
        <v>509</v>
      </c>
      <c r="C183" s="85" t="s">
        <v>510</v>
      </c>
      <c r="D183" s="84">
        <v>172</v>
      </c>
      <c r="E183" s="86">
        <v>200</v>
      </c>
    </row>
    <row r="184" spans="1:5" ht="18">
      <c r="A184" s="84" t="s">
        <v>511</v>
      </c>
      <c r="B184" s="84" t="s">
        <v>512</v>
      </c>
      <c r="C184" s="85" t="s">
        <v>513</v>
      </c>
      <c r="D184" s="84">
        <v>195</v>
      </c>
      <c r="E184" s="86">
        <v>216</v>
      </c>
    </row>
    <row r="185" spans="1:5" ht="18">
      <c r="A185" s="84" t="s">
        <v>514</v>
      </c>
      <c r="B185" s="84" t="s">
        <v>515</v>
      </c>
      <c r="C185" s="85" t="s">
        <v>516</v>
      </c>
      <c r="D185" s="84">
        <v>202</v>
      </c>
      <c r="E185" s="86">
        <v>220</v>
      </c>
    </row>
    <row r="186" spans="1:5" ht="18">
      <c r="A186" s="84" t="s">
        <v>517</v>
      </c>
      <c r="B186" s="84" t="s">
        <v>518</v>
      </c>
      <c r="C186" s="85" t="s">
        <v>519</v>
      </c>
      <c r="D186" s="84">
        <v>215</v>
      </c>
      <c r="E186" s="86">
        <v>234</v>
      </c>
    </row>
    <row r="187" spans="1:5" ht="18">
      <c r="A187" s="96"/>
      <c r="B187" s="96"/>
      <c r="C187" s="96"/>
      <c r="D187" s="86"/>
    </row>
    <row r="188" spans="1:5" ht="18">
      <c r="A188" s="85" t="s">
        <v>520</v>
      </c>
      <c r="B188" s="85" t="s">
        <v>520</v>
      </c>
      <c r="C188" s="85" t="s">
        <v>521</v>
      </c>
      <c r="D188" s="86">
        <v>186</v>
      </c>
    </row>
    <row r="189" spans="1:5" ht="18">
      <c r="A189" s="85" t="s">
        <v>522</v>
      </c>
      <c r="B189" s="85" t="s">
        <v>522</v>
      </c>
      <c r="C189" s="85" t="s">
        <v>523</v>
      </c>
      <c r="D189" s="86">
        <v>200</v>
      </c>
    </row>
    <row r="190" spans="1:5" ht="18">
      <c r="A190" s="85" t="s">
        <v>524</v>
      </c>
      <c r="B190" s="85" t="s">
        <v>524</v>
      </c>
      <c r="C190" s="85" t="s">
        <v>525</v>
      </c>
      <c r="D190" s="86">
        <v>217</v>
      </c>
    </row>
    <row r="191" spans="1:5" ht="18">
      <c r="A191" s="85" t="s">
        <v>526</v>
      </c>
      <c r="B191" s="85" t="s">
        <v>526</v>
      </c>
      <c r="C191" s="85" t="s">
        <v>527</v>
      </c>
      <c r="D191" s="86">
        <v>220</v>
      </c>
    </row>
    <row r="192" spans="1:5" ht="18">
      <c r="A192" s="98" t="s">
        <v>528</v>
      </c>
      <c r="B192" s="98" t="s">
        <v>528</v>
      </c>
      <c r="C192" s="98" t="s">
        <v>529</v>
      </c>
      <c r="D192" s="86">
        <v>243</v>
      </c>
    </row>
    <row r="193" spans="1:4" ht="18">
      <c r="A193" s="98" t="s">
        <v>530</v>
      </c>
      <c r="B193" s="98" t="s">
        <v>530</v>
      </c>
      <c r="C193" s="98" t="s">
        <v>531</v>
      </c>
      <c r="D193" s="86">
        <v>257</v>
      </c>
    </row>
    <row r="194" spans="1:4" ht="18">
      <c r="A194" s="98" t="s">
        <v>532</v>
      </c>
      <c r="B194" s="98" t="s">
        <v>532</v>
      </c>
      <c r="C194" s="98" t="s">
        <v>533</v>
      </c>
      <c r="D194" s="86">
        <v>271</v>
      </c>
    </row>
    <row r="195" spans="1:4" ht="18">
      <c r="A195" s="85" t="s">
        <v>534</v>
      </c>
      <c r="B195" s="85" t="s">
        <v>534</v>
      </c>
      <c r="C195" s="85" t="s">
        <v>535</v>
      </c>
      <c r="D195" s="86">
        <v>284</v>
      </c>
    </row>
    <row r="196" spans="1:4" ht="18">
      <c r="A196" s="85" t="s">
        <v>536</v>
      </c>
      <c r="B196" s="85" t="s">
        <v>536</v>
      </c>
      <c r="C196" s="85" t="s">
        <v>537</v>
      </c>
      <c r="D196" s="86">
        <v>298</v>
      </c>
    </row>
    <row r="197" spans="1:4" ht="18">
      <c r="A197" s="85" t="s">
        <v>538</v>
      </c>
      <c r="B197" s="85" t="s">
        <v>538</v>
      </c>
      <c r="C197" s="85" t="s">
        <v>539</v>
      </c>
      <c r="D197" s="86">
        <v>311</v>
      </c>
    </row>
    <row r="198" spans="1:4" ht="18">
      <c r="A198" s="85" t="s">
        <v>540</v>
      </c>
      <c r="B198" s="85" t="s">
        <v>540</v>
      </c>
      <c r="C198" s="85" t="s">
        <v>541</v>
      </c>
      <c r="D198" s="86">
        <v>316</v>
      </c>
    </row>
    <row r="199" spans="1:4" ht="18">
      <c r="A199" s="85" t="s">
        <v>542</v>
      </c>
      <c r="B199" s="85" t="s">
        <v>542</v>
      </c>
      <c r="C199" s="85" t="s">
        <v>543</v>
      </c>
      <c r="D199" s="86">
        <v>324</v>
      </c>
    </row>
    <row r="200" spans="1:4" ht="18">
      <c r="A200" s="85" t="s">
        <v>544</v>
      </c>
      <c r="B200" s="85" t="s">
        <v>544</v>
      </c>
      <c r="C200" s="85" t="s">
        <v>545</v>
      </c>
      <c r="D200" s="86">
        <v>333</v>
      </c>
    </row>
    <row r="201" spans="1:4" ht="18">
      <c r="A201" s="85" t="s">
        <v>546</v>
      </c>
      <c r="B201" s="85" t="s">
        <v>546</v>
      </c>
      <c r="C201" s="85" t="s">
        <v>547</v>
      </c>
      <c r="D201" s="86">
        <v>164</v>
      </c>
    </row>
    <row r="202" spans="1:4" ht="19">
      <c r="A202" s="99" t="s">
        <v>548</v>
      </c>
      <c r="B202" s="99" t="s">
        <v>548</v>
      </c>
      <c r="C202" s="91" t="s">
        <v>549</v>
      </c>
      <c r="D202" s="86">
        <v>181</v>
      </c>
    </row>
    <row r="203" spans="1:4" ht="19">
      <c r="A203" s="99" t="s">
        <v>550</v>
      </c>
      <c r="B203" s="100" t="s">
        <v>550</v>
      </c>
      <c r="C203" s="101" t="s">
        <v>551</v>
      </c>
      <c r="D203" s="97">
        <v>183</v>
      </c>
    </row>
    <row r="204" spans="1:4" ht="19">
      <c r="A204" s="99" t="s">
        <v>552</v>
      </c>
      <c r="B204" s="100" t="s">
        <v>552</v>
      </c>
      <c r="C204" s="101" t="s">
        <v>553</v>
      </c>
      <c r="D204" s="97">
        <v>195</v>
      </c>
    </row>
    <row r="205" spans="1:4" ht="19">
      <c r="A205" s="99" t="s">
        <v>554</v>
      </c>
      <c r="B205" s="99" t="s">
        <v>554</v>
      </c>
      <c r="C205" s="91" t="s">
        <v>555</v>
      </c>
      <c r="D205" s="86">
        <v>213</v>
      </c>
    </row>
    <row r="206" spans="1:4" ht="19">
      <c r="A206" s="102" t="s">
        <v>556</v>
      </c>
      <c r="B206" s="102" t="s">
        <v>556</v>
      </c>
      <c r="C206" s="103" t="s">
        <v>555</v>
      </c>
      <c r="D206" s="86">
        <v>232</v>
      </c>
    </row>
    <row r="207" spans="1:4" ht="19">
      <c r="A207" s="102"/>
      <c r="B207" s="104" t="s">
        <v>557</v>
      </c>
      <c r="C207" s="105" t="s">
        <v>558</v>
      </c>
      <c r="D207" s="97">
        <v>19</v>
      </c>
    </row>
    <row r="208" spans="1:4" ht="18">
      <c r="A208" s="85" t="s">
        <v>559</v>
      </c>
      <c r="B208" s="85" t="s">
        <v>559</v>
      </c>
      <c r="C208" s="85" t="s">
        <v>560</v>
      </c>
      <c r="D208" s="86">
        <v>213</v>
      </c>
    </row>
    <row r="209" spans="1:4" ht="18">
      <c r="A209" s="85" t="s">
        <v>561</v>
      </c>
      <c r="B209" s="85" t="s">
        <v>561</v>
      </c>
      <c r="C209" s="85" t="s">
        <v>562</v>
      </c>
      <c r="D209" s="86">
        <v>215</v>
      </c>
    </row>
    <row r="210" spans="1:4" ht="18">
      <c r="A210" s="85" t="s">
        <v>563</v>
      </c>
      <c r="B210" s="85" t="s">
        <v>563</v>
      </c>
      <c r="C210" s="85" t="s">
        <v>564</v>
      </c>
      <c r="D210" s="86">
        <v>242</v>
      </c>
    </row>
    <row r="211" spans="1:4" ht="18">
      <c r="A211" s="85" t="s">
        <v>565</v>
      </c>
      <c r="B211" s="85" t="s">
        <v>565</v>
      </c>
      <c r="C211" s="85" t="s">
        <v>566</v>
      </c>
      <c r="D211" s="86">
        <v>250</v>
      </c>
    </row>
    <row r="212" spans="1:4" ht="18">
      <c r="A212" s="85" t="s">
        <v>567</v>
      </c>
      <c r="B212" s="85" t="s">
        <v>567</v>
      </c>
      <c r="C212" s="85" t="s">
        <v>568</v>
      </c>
      <c r="D212" s="86">
        <v>316</v>
      </c>
    </row>
    <row r="213" spans="1:4" ht="18">
      <c r="A213" s="85" t="s">
        <v>569</v>
      </c>
      <c r="B213" s="85" t="s">
        <v>569</v>
      </c>
      <c r="C213" s="85" t="s">
        <v>570</v>
      </c>
      <c r="D213" s="86">
        <v>325</v>
      </c>
    </row>
    <row r="214" spans="1:4" ht="18">
      <c r="A214" s="85" t="s">
        <v>571</v>
      </c>
      <c r="B214" s="85" t="s">
        <v>571</v>
      </c>
      <c r="C214" s="85" t="s">
        <v>572</v>
      </c>
      <c r="D214" s="86">
        <v>331</v>
      </c>
    </row>
    <row r="215" spans="1:4" ht="18">
      <c r="A215" s="85" t="s">
        <v>573</v>
      </c>
      <c r="B215" s="85" t="s">
        <v>573</v>
      </c>
      <c r="C215" s="85" t="s">
        <v>574</v>
      </c>
      <c r="D215" s="86">
        <v>355</v>
      </c>
    </row>
    <row r="216" spans="1:4" ht="18">
      <c r="A216" s="85" t="s">
        <v>575</v>
      </c>
      <c r="B216" s="85" t="s">
        <v>575</v>
      </c>
      <c r="C216" s="85" t="s">
        <v>576</v>
      </c>
      <c r="D216" s="86">
        <v>413</v>
      </c>
    </row>
    <row r="217" spans="1:4" ht="18">
      <c r="A217" s="85" t="s">
        <v>577</v>
      </c>
      <c r="B217" s="85" t="s">
        <v>577</v>
      </c>
      <c r="C217" s="85" t="s">
        <v>578</v>
      </c>
      <c r="D217" s="86">
        <v>429</v>
      </c>
    </row>
    <row r="218" spans="1:4" ht="18">
      <c r="A218" s="85" t="s">
        <v>579</v>
      </c>
      <c r="B218" s="85" t="s">
        <v>580</v>
      </c>
      <c r="C218" s="106" t="s">
        <v>581</v>
      </c>
      <c r="D218" s="86">
        <v>23</v>
      </c>
    </row>
    <row r="219" spans="1:4" ht="19">
      <c r="A219" s="107" t="s">
        <v>582</v>
      </c>
      <c r="B219" s="107" t="s">
        <v>583</v>
      </c>
      <c r="C219" s="108" t="s">
        <v>584</v>
      </c>
      <c r="D219" s="86">
        <v>148</v>
      </c>
    </row>
    <row r="220" spans="1:4" ht="19">
      <c r="A220" s="107" t="s">
        <v>585</v>
      </c>
      <c r="B220" s="107" t="s">
        <v>586</v>
      </c>
      <c r="C220" s="108" t="s">
        <v>587</v>
      </c>
      <c r="D220" s="86">
        <v>156</v>
      </c>
    </row>
    <row r="221" spans="1:4" ht="19">
      <c r="A221" s="107" t="s">
        <v>588</v>
      </c>
      <c r="B221" s="107" t="s">
        <v>589</v>
      </c>
      <c r="C221" s="108" t="s">
        <v>590</v>
      </c>
      <c r="D221" s="86">
        <v>173</v>
      </c>
    </row>
    <row r="222" spans="1:4" ht="19">
      <c r="A222" s="107" t="s">
        <v>591</v>
      </c>
      <c r="B222" s="107" t="s">
        <v>592</v>
      </c>
      <c r="C222" s="108" t="s">
        <v>593</v>
      </c>
      <c r="D222" s="86">
        <v>196</v>
      </c>
    </row>
    <row r="223" spans="1:4" ht="19">
      <c r="A223" s="107" t="s">
        <v>594</v>
      </c>
      <c r="B223" s="107" t="s">
        <v>595</v>
      </c>
      <c r="C223" s="108" t="s">
        <v>596</v>
      </c>
      <c r="D223" s="86">
        <v>200</v>
      </c>
    </row>
    <row r="224" spans="1:4" ht="19">
      <c r="A224" s="107" t="s">
        <v>597</v>
      </c>
      <c r="B224" s="107" t="s">
        <v>598</v>
      </c>
      <c r="C224" s="108" t="s">
        <v>599</v>
      </c>
      <c r="D224" s="86">
        <v>216</v>
      </c>
    </row>
    <row r="225" spans="1:5" ht="19">
      <c r="A225" s="107" t="s">
        <v>600</v>
      </c>
      <c r="B225" s="107" t="s">
        <v>601</v>
      </c>
      <c r="C225" s="108" t="s">
        <v>602</v>
      </c>
      <c r="D225" s="86">
        <v>220</v>
      </c>
    </row>
    <row r="226" spans="1:5" ht="38">
      <c r="A226" s="107" t="s">
        <v>603</v>
      </c>
      <c r="B226" s="107" t="s">
        <v>604</v>
      </c>
      <c r="C226" s="108" t="s">
        <v>605</v>
      </c>
      <c r="D226" s="86">
        <v>234</v>
      </c>
    </row>
    <row r="227" spans="1:5" ht="18">
      <c r="A227" s="85" t="s">
        <v>606</v>
      </c>
      <c r="B227" s="85" t="s">
        <v>606</v>
      </c>
      <c r="C227" s="85" t="s">
        <v>607</v>
      </c>
      <c r="D227" s="86">
        <v>235</v>
      </c>
    </row>
    <row r="228" spans="1:5" ht="18">
      <c r="A228" s="85" t="s">
        <v>608</v>
      </c>
      <c r="B228" s="85" t="s">
        <v>608</v>
      </c>
      <c r="C228" s="85" t="s">
        <v>609</v>
      </c>
      <c r="D228" s="86">
        <v>244</v>
      </c>
    </row>
    <row r="229" spans="1:5" ht="18">
      <c r="A229" s="85" t="s">
        <v>610</v>
      </c>
      <c r="B229" s="85" t="s">
        <v>610</v>
      </c>
      <c r="C229" s="85" t="s">
        <v>611</v>
      </c>
      <c r="D229" s="86">
        <v>250</v>
      </c>
    </row>
    <row r="230" spans="1:5" ht="18">
      <c r="A230" s="85" t="s">
        <v>612</v>
      </c>
      <c r="B230" s="85" t="s">
        <v>612</v>
      </c>
      <c r="C230" s="85" t="s">
        <v>613</v>
      </c>
      <c r="D230" s="86">
        <v>267</v>
      </c>
    </row>
    <row r="231" spans="1:5" ht="18">
      <c r="A231" s="85" t="s">
        <v>614</v>
      </c>
      <c r="B231" s="85" t="s">
        <v>614</v>
      </c>
      <c r="C231" s="85" t="s">
        <v>615</v>
      </c>
      <c r="D231" s="86">
        <v>276</v>
      </c>
    </row>
    <row r="232" spans="1:5" ht="18">
      <c r="A232" s="85" t="s">
        <v>616</v>
      </c>
      <c r="B232" s="85" t="s">
        <v>616</v>
      </c>
      <c r="C232" s="85" t="s">
        <v>617</v>
      </c>
      <c r="D232" s="86">
        <v>295</v>
      </c>
    </row>
    <row r="233" spans="1:5" ht="18">
      <c r="A233" s="85" t="s">
        <v>618</v>
      </c>
      <c r="B233" s="85" t="s">
        <v>618</v>
      </c>
      <c r="C233" s="85" t="s">
        <v>619</v>
      </c>
      <c r="D233" s="86">
        <v>328</v>
      </c>
    </row>
    <row r="234" spans="1:5" ht="18">
      <c r="A234" s="85" t="s">
        <v>620</v>
      </c>
      <c r="B234" s="85" t="s">
        <v>620</v>
      </c>
      <c r="C234" s="85" t="s">
        <v>621</v>
      </c>
      <c r="D234" s="86">
        <v>334</v>
      </c>
    </row>
    <row r="235" spans="1:5" ht="18">
      <c r="A235" s="84" t="s">
        <v>622</v>
      </c>
      <c r="B235" s="84" t="s">
        <v>622</v>
      </c>
      <c r="C235" s="85" t="s">
        <v>623</v>
      </c>
      <c r="D235" s="86">
        <v>418</v>
      </c>
    </row>
    <row r="236" spans="1:5" ht="18">
      <c r="A236" s="109" t="s">
        <v>624</v>
      </c>
      <c r="B236" s="109" t="s">
        <v>624</v>
      </c>
      <c r="C236" s="109" t="s">
        <v>625</v>
      </c>
      <c r="D236" s="86">
        <v>241</v>
      </c>
      <c r="E236" s="110"/>
    </row>
    <row r="237" spans="1:5" ht="18">
      <c r="A237" s="109" t="s">
        <v>626</v>
      </c>
      <c r="B237" s="109" t="s">
        <v>626</v>
      </c>
      <c r="C237" s="109" t="s">
        <v>627</v>
      </c>
      <c r="D237" s="86">
        <v>259</v>
      </c>
      <c r="E237" s="110"/>
    </row>
    <row r="238" spans="1:5" ht="18">
      <c r="A238" s="109" t="s">
        <v>628</v>
      </c>
      <c r="B238" s="109" t="s">
        <v>628</v>
      </c>
      <c r="C238" s="109" t="s">
        <v>629</v>
      </c>
      <c r="D238" s="86">
        <v>285</v>
      </c>
      <c r="E238" s="110"/>
    </row>
    <row r="239" spans="1:5" ht="18">
      <c r="A239" s="109" t="s">
        <v>630</v>
      </c>
      <c r="B239" s="109" t="s">
        <v>630</v>
      </c>
      <c r="C239" s="109" t="s">
        <v>631</v>
      </c>
      <c r="D239" s="86">
        <v>294</v>
      </c>
      <c r="E239" s="110"/>
    </row>
    <row r="240" spans="1:5" ht="18">
      <c r="A240" s="109" t="s">
        <v>632</v>
      </c>
      <c r="B240" s="109" t="s">
        <v>632</v>
      </c>
      <c r="C240" s="109" t="s">
        <v>633</v>
      </c>
      <c r="D240" s="86">
        <v>174</v>
      </c>
      <c r="E240" s="110"/>
    </row>
    <row r="241" spans="1:5" ht="18">
      <c r="A241" s="109" t="s">
        <v>634</v>
      </c>
      <c r="B241" s="109" t="s">
        <v>634</v>
      </c>
      <c r="C241" s="109" t="s">
        <v>635</v>
      </c>
      <c r="D241" s="86">
        <v>181</v>
      </c>
      <c r="E241" s="110"/>
    </row>
    <row r="242" spans="1:5" ht="18">
      <c r="A242" s="109" t="s">
        <v>636</v>
      </c>
      <c r="B242" s="109" t="s">
        <v>636</v>
      </c>
      <c r="C242" s="109" t="s">
        <v>637</v>
      </c>
      <c r="D242" s="86">
        <v>184</v>
      </c>
      <c r="E242" s="110"/>
    </row>
    <row r="243" spans="1:5" ht="18">
      <c r="A243" s="109" t="s">
        <v>638</v>
      </c>
      <c r="B243" s="109" t="s">
        <v>638</v>
      </c>
      <c r="C243" s="109" t="s">
        <v>639</v>
      </c>
      <c r="D243" s="86">
        <v>216</v>
      </c>
      <c r="E243" s="110"/>
    </row>
    <row r="244" spans="1:5" ht="18">
      <c r="A244" s="109" t="s">
        <v>640</v>
      </c>
      <c r="B244" s="109" t="s">
        <v>640</v>
      </c>
      <c r="C244" s="109" t="s">
        <v>641</v>
      </c>
      <c r="D244" s="86">
        <v>230</v>
      </c>
      <c r="E244" s="110"/>
    </row>
    <row r="245" spans="1:5" ht="18">
      <c r="A245" s="109" t="s">
        <v>642</v>
      </c>
      <c r="B245" s="109" t="s">
        <v>642</v>
      </c>
      <c r="C245" s="109" t="s">
        <v>643</v>
      </c>
      <c r="D245" s="86">
        <v>245</v>
      </c>
      <c r="E245" s="110"/>
    </row>
    <row r="246" spans="1:5" ht="18">
      <c r="A246" s="230" t="s">
        <v>644</v>
      </c>
      <c r="B246" s="230" t="s">
        <v>644</v>
      </c>
      <c r="C246" s="231" t="s">
        <v>645</v>
      </c>
      <c r="D246" s="86">
        <v>285</v>
      </c>
      <c r="E246" s="110"/>
    </row>
    <row r="247" spans="1:5" ht="18">
      <c r="A247" s="230" t="s">
        <v>646</v>
      </c>
      <c r="B247" s="230" t="s">
        <v>646</v>
      </c>
      <c r="C247" s="231" t="s">
        <v>647</v>
      </c>
      <c r="D247" s="86">
        <v>302</v>
      </c>
      <c r="E247" s="110"/>
    </row>
    <row r="248" spans="1:5" ht="18">
      <c r="A248" s="230" t="s">
        <v>648</v>
      </c>
      <c r="B248" s="230" t="s">
        <v>648</v>
      </c>
      <c r="C248" s="231" t="s">
        <v>649</v>
      </c>
      <c r="D248" s="86">
        <v>330</v>
      </c>
      <c r="E248" s="110"/>
    </row>
    <row r="249" spans="1:5" ht="18">
      <c r="A249" s="230" t="s">
        <v>650</v>
      </c>
      <c r="B249" s="230" t="s">
        <v>650</v>
      </c>
      <c r="C249" s="231" t="s">
        <v>651</v>
      </c>
      <c r="D249" s="86">
        <v>344</v>
      </c>
      <c r="E249" s="110"/>
    </row>
    <row r="250" spans="1:5" ht="18">
      <c r="A250" s="230" t="s">
        <v>652</v>
      </c>
      <c r="B250" s="230" t="s">
        <v>652</v>
      </c>
      <c r="C250" s="231" t="s">
        <v>653</v>
      </c>
      <c r="D250" s="86">
        <v>370</v>
      </c>
      <c r="E250" s="110"/>
    </row>
    <row r="251" spans="1:5" ht="18">
      <c r="A251" s="230" t="s">
        <v>654</v>
      </c>
      <c r="B251" s="230" t="s">
        <v>654</v>
      </c>
      <c r="C251" s="231" t="s">
        <v>655</v>
      </c>
      <c r="D251" s="86">
        <v>388</v>
      </c>
      <c r="E251" s="110"/>
    </row>
    <row r="252" spans="1:5" ht="18">
      <c r="A252" s="230" t="s">
        <v>656</v>
      </c>
      <c r="B252" s="230" t="s">
        <v>656</v>
      </c>
      <c r="C252" s="231" t="s">
        <v>657</v>
      </c>
      <c r="D252" s="86">
        <v>521</v>
      </c>
      <c r="E252" s="110"/>
    </row>
    <row r="253" spans="1:5" ht="18">
      <c r="A253" s="230" t="s">
        <v>658</v>
      </c>
      <c r="B253" s="230" t="s">
        <v>658</v>
      </c>
      <c r="C253" s="231" t="s">
        <v>659</v>
      </c>
      <c r="D253" s="86">
        <v>523</v>
      </c>
      <c r="E253" s="110"/>
    </row>
    <row r="254" spans="1:5" ht="18">
      <c r="A254" s="230" t="s">
        <v>660</v>
      </c>
      <c r="B254" s="230" t="s">
        <v>660</v>
      </c>
      <c r="C254" s="231" t="s">
        <v>661</v>
      </c>
      <c r="D254" s="86">
        <v>530</v>
      </c>
      <c r="E254" s="110"/>
    </row>
    <row r="255" spans="1:5" ht="18">
      <c r="A255" s="84" t="s">
        <v>662</v>
      </c>
      <c r="B255" s="84" t="s">
        <v>662</v>
      </c>
      <c r="C255" s="85" t="s">
        <v>663</v>
      </c>
      <c r="D255" s="86">
        <v>420</v>
      </c>
      <c r="E255" s="110"/>
    </row>
    <row r="256" spans="1:5" ht="18">
      <c r="A256" s="84" t="s">
        <v>664</v>
      </c>
      <c r="B256" s="84" t="s">
        <v>664</v>
      </c>
      <c r="C256" s="85" t="s">
        <v>665</v>
      </c>
      <c r="D256" s="86">
        <v>434</v>
      </c>
      <c r="E256" s="110"/>
    </row>
    <row r="257" spans="1:5" ht="18">
      <c r="A257" s="84" t="s">
        <v>666</v>
      </c>
      <c r="B257" s="84" t="s">
        <v>666</v>
      </c>
      <c r="C257" s="85" t="s">
        <v>667</v>
      </c>
      <c r="D257" s="86">
        <v>720</v>
      </c>
      <c r="E257" s="110"/>
    </row>
    <row r="258" spans="1:5" ht="18">
      <c r="A258" s="84" t="s">
        <v>668</v>
      </c>
      <c r="B258" s="84" t="s">
        <v>668</v>
      </c>
      <c r="C258" s="85" t="s">
        <v>669</v>
      </c>
      <c r="D258" s="86">
        <v>736</v>
      </c>
      <c r="E258" s="110"/>
    </row>
    <row r="259" spans="1:5" ht="18">
      <c r="A259" s="84" t="s">
        <v>670</v>
      </c>
      <c r="B259" s="84" t="s">
        <v>670</v>
      </c>
      <c r="C259" s="85" t="s">
        <v>671</v>
      </c>
      <c r="D259" s="86">
        <v>745</v>
      </c>
      <c r="E259" s="110"/>
    </row>
    <row r="260" spans="1:5" ht="18">
      <c r="A260" s="84" t="s">
        <v>672</v>
      </c>
      <c r="B260" s="84" t="s">
        <v>672</v>
      </c>
      <c r="C260" s="85" t="s">
        <v>673</v>
      </c>
      <c r="D260" s="86">
        <v>1126</v>
      </c>
      <c r="E260" s="110"/>
    </row>
    <row r="261" spans="1:5" ht="18">
      <c r="A261" s="84" t="s">
        <v>674</v>
      </c>
      <c r="B261" s="84" t="s">
        <v>674</v>
      </c>
      <c r="C261" s="85" t="s">
        <v>675</v>
      </c>
      <c r="D261" s="86">
        <v>1173</v>
      </c>
      <c r="E261" s="110"/>
    </row>
    <row r="262" spans="1:5" ht="18">
      <c r="A262" s="84" t="s">
        <v>676</v>
      </c>
      <c r="B262" s="84" t="s">
        <v>676</v>
      </c>
      <c r="C262" s="85" t="s">
        <v>677</v>
      </c>
      <c r="D262" s="86">
        <v>1233</v>
      </c>
      <c r="E262" s="110"/>
    </row>
    <row r="263" spans="1:5" ht="18">
      <c r="A263" s="85" t="s">
        <v>678</v>
      </c>
      <c r="B263" s="85" t="s">
        <v>678</v>
      </c>
      <c r="C263" s="85" t="s">
        <v>679</v>
      </c>
      <c r="D263" s="86">
        <v>182</v>
      </c>
    </row>
    <row r="264" spans="1:5" ht="18">
      <c r="A264" s="85" t="s">
        <v>680</v>
      </c>
      <c r="B264" s="85" t="s">
        <v>680</v>
      </c>
      <c r="C264" s="85" t="s">
        <v>681</v>
      </c>
      <c r="D264" s="86">
        <v>184</v>
      </c>
    </row>
    <row r="265" spans="1:5" ht="18">
      <c r="A265" s="85" t="s">
        <v>682</v>
      </c>
      <c r="B265" s="85" t="s">
        <v>682</v>
      </c>
      <c r="C265" s="85" t="s">
        <v>683</v>
      </c>
      <c r="D265" s="86">
        <v>203</v>
      </c>
    </row>
    <row r="266" spans="1:5" ht="18">
      <c r="A266" s="85" t="s">
        <v>684</v>
      </c>
      <c r="B266" s="85" t="s">
        <v>684</v>
      </c>
      <c r="C266" s="85" t="s">
        <v>685</v>
      </c>
      <c r="D266" s="86">
        <v>216</v>
      </c>
    </row>
    <row r="267" spans="1:5" ht="18">
      <c r="A267" s="85" t="s">
        <v>686</v>
      </c>
      <c r="B267" s="85" t="s">
        <v>686</v>
      </c>
      <c r="C267" s="85" t="s">
        <v>687</v>
      </c>
      <c r="D267" s="86">
        <v>231</v>
      </c>
    </row>
    <row r="268" spans="1:5" ht="18">
      <c r="A268" s="85" t="s">
        <v>688</v>
      </c>
      <c r="B268" s="85" t="s">
        <v>688</v>
      </c>
      <c r="C268" s="85" t="s">
        <v>689</v>
      </c>
      <c r="D268" s="86">
        <v>238</v>
      </c>
    </row>
    <row r="269" spans="1:5" ht="18">
      <c r="A269" s="85" t="s">
        <v>690</v>
      </c>
      <c r="B269" s="85" t="s">
        <v>690</v>
      </c>
      <c r="C269" s="85" t="s">
        <v>691</v>
      </c>
      <c r="D269" s="86">
        <v>256</v>
      </c>
    </row>
    <row r="270" spans="1:5" ht="18">
      <c r="A270" s="85" t="s">
        <v>692</v>
      </c>
      <c r="B270" s="85" t="s">
        <v>692</v>
      </c>
      <c r="C270" s="85" t="s">
        <v>693</v>
      </c>
      <c r="D270" s="86">
        <v>182</v>
      </c>
    </row>
    <row r="271" spans="1:5" ht="18">
      <c r="A271" s="85" t="s">
        <v>694</v>
      </c>
      <c r="B271" s="85" t="s">
        <v>694</v>
      </c>
      <c r="C271" s="85" t="s">
        <v>695</v>
      </c>
      <c r="D271" s="86">
        <v>184</v>
      </c>
    </row>
    <row r="272" spans="1:5" ht="18">
      <c r="A272" s="85" t="s">
        <v>696</v>
      </c>
      <c r="B272" s="85" t="s">
        <v>696</v>
      </c>
      <c r="C272" s="85" t="s">
        <v>697</v>
      </c>
      <c r="D272" s="86">
        <v>203</v>
      </c>
    </row>
    <row r="273" spans="1:4" ht="18">
      <c r="A273" s="85" t="s">
        <v>698</v>
      </c>
      <c r="B273" s="85" t="s">
        <v>698</v>
      </c>
      <c r="C273" s="85" t="s">
        <v>699</v>
      </c>
      <c r="D273" s="86">
        <v>216</v>
      </c>
    </row>
    <row r="274" spans="1:4" ht="18">
      <c r="A274" s="85" t="s">
        <v>700</v>
      </c>
      <c r="B274" s="85" t="s">
        <v>700</v>
      </c>
      <c r="C274" s="85" t="s">
        <v>701</v>
      </c>
      <c r="D274" s="86">
        <v>231</v>
      </c>
    </row>
    <row r="275" spans="1:4" ht="18">
      <c r="A275" s="85" t="s">
        <v>702</v>
      </c>
      <c r="B275" s="85" t="s">
        <v>702</v>
      </c>
      <c r="C275" s="85" t="s">
        <v>703</v>
      </c>
      <c r="D275" s="86">
        <v>238</v>
      </c>
    </row>
    <row r="276" spans="1:4" ht="18">
      <c r="A276" s="85" t="s">
        <v>704</v>
      </c>
      <c r="B276" s="85" t="s">
        <v>704</v>
      </c>
      <c r="C276" s="85" t="s">
        <v>705</v>
      </c>
      <c r="D276" s="86">
        <v>256</v>
      </c>
    </row>
    <row r="277" spans="1:4" ht="18">
      <c r="A277" s="85" t="s">
        <v>706</v>
      </c>
      <c r="B277" s="85" t="s">
        <v>706</v>
      </c>
      <c r="C277" s="85" t="s">
        <v>693</v>
      </c>
      <c r="D277" s="86">
        <v>166</v>
      </c>
    </row>
    <row r="278" spans="1:4" ht="18">
      <c r="A278" s="85" t="s">
        <v>707</v>
      </c>
      <c r="B278" s="85" t="s">
        <v>707</v>
      </c>
      <c r="C278" s="85" t="s">
        <v>695</v>
      </c>
      <c r="D278" s="86">
        <v>168</v>
      </c>
    </row>
    <row r="279" spans="1:4" ht="18">
      <c r="A279" s="85" t="s">
        <v>708</v>
      </c>
      <c r="B279" s="85" t="s">
        <v>708</v>
      </c>
      <c r="C279" s="85" t="s">
        <v>697</v>
      </c>
      <c r="D279" s="86">
        <v>188</v>
      </c>
    </row>
    <row r="280" spans="1:4" ht="18">
      <c r="A280" s="85" t="s">
        <v>709</v>
      </c>
      <c r="B280" s="85" t="s">
        <v>709</v>
      </c>
      <c r="C280" s="85" t="s">
        <v>699</v>
      </c>
      <c r="D280" s="86">
        <v>200</v>
      </c>
    </row>
    <row r="281" spans="1:4" ht="18">
      <c r="A281" s="85" t="s">
        <v>710</v>
      </c>
      <c r="B281" s="85" t="s">
        <v>710</v>
      </c>
      <c r="C281" s="85" t="s">
        <v>701</v>
      </c>
      <c r="D281" s="86">
        <v>216</v>
      </c>
    </row>
    <row r="282" spans="1:4" ht="18">
      <c r="A282" s="85" t="s">
        <v>711</v>
      </c>
      <c r="B282" s="85" t="s">
        <v>711</v>
      </c>
      <c r="C282" s="85" t="s">
        <v>703</v>
      </c>
      <c r="D282" s="86">
        <v>222</v>
      </c>
    </row>
    <row r="283" spans="1:4" ht="18">
      <c r="A283" s="85" t="s">
        <v>712</v>
      </c>
      <c r="B283" s="85" t="s">
        <v>712</v>
      </c>
      <c r="C283" s="85" t="s">
        <v>705</v>
      </c>
      <c r="D283" s="86">
        <v>238</v>
      </c>
    </row>
    <row r="284" spans="1:4" ht="18">
      <c r="A284" s="85" t="s">
        <v>713</v>
      </c>
      <c r="B284" s="85" t="s">
        <v>713</v>
      </c>
      <c r="C284" s="85" t="s">
        <v>714</v>
      </c>
      <c r="D284" s="86">
        <v>235</v>
      </c>
    </row>
    <row r="285" spans="1:4" ht="18">
      <c r="A285" s="85" t="s">
        <v>715</v>
      </c>
      <c r="B285" s="85" t="s">
        <v>715</v>
      </c>
      <c r="C285" s="85" t="s">
        <v>716</v>
      </c>
      <c r="D285" s="86">
        <v>242</v>
      </c>
    </row>
    <row r="286" spans="1:4" ht="18">
      <c r="A286" s="85" t="s">
        <v>717</v>
      </c>
      <c r="B286" s="85" t="s">
        <v>717</v>
      </c>
      <c r="C286" s="85" t="s">
        <v>718</v>
      </c>
      <c r="D286" s="86">
        <v>245</v>
      </c>
    </row>
    <row r="287" spans="1:4" ht="18">
      <c r="A287" s="85" t="s">
        <v>719</v>
      </c>
      <c r="B287" s="85" t="s">
        <v>719</v>
      </c>
      <c r="C287" s="85" t="s">
        <v>720</v>
      </c>
      <c r="D287" s="86">
        <v>247</v>
      </c>
    </row>
    <row r="288" spans="1:4" ht="19">
      <c r="A288" s="90" t="s">
        <v>721</v>
      </c>
      <c r="B288" s="90" t="s">
        <v>721</v>
      </c>
      <c r="C288" s="91" t="s">
        <v>722</v>
      </c>
      <c r="D288" s="86">
        <v>227</v>
      </c>
    </row>
    <row r="289" spans="1:4" ht="19">
      <c r="A289" s="90" t="s">
        <v>723</v>
      </c>
      <c r="B289" s="90" t="s">
        <v>723</v>
      </c>
      <c r="C289" s="91" t="s">
        <v>724</v>
      </c>
      <c r="D289" s="86">
        <v>274</v>
      </c>
    </row>
    <row r="290" spans="1:4" ht="19">
      <c r="A290" s="90" t="s">
        <v>725</v>
      </c>
      <c r="B290" s="90" t="s">
        <v>725</v>
      </c>
      <c r="C290" s="91" t="s">
        <v>726</v>
      </c>
      <c r="D290" s="86">
        <v>330</v>
      </c>
    </row>
    <row r="291" spans="1:4" ht="19">
      <c r="A291" s="90" t="s">
        <v>727</v>
      </c>
      <c r="B291" s="90" t="s">
        <v>727</v>
      </c>
      <c r="C291" s="91" t="s">
        <v>728</v>
      </c>
      <c r="D291" s="86">
        <v>455</v>
      </c>
    </row>
    <row r="292" spans="1:4" ht="19">
      <c r="A292" s="90" t="s">
        <v>729</v>
      </c>
      <c r="B292" s="90" t="s">
        <v>729</v>
      </c>
      <c r="C292" s="91" t="s">
        <v>730</v>
      </c>
      <c r="D292" s="86">
        <v>590</v>
      </c>
    </row>
    <row r="293" spans="1:4" ht="19">
      <c r="A293" s="90" t="s">
        <v>731</v>
      </c>
      <c r="B293" s="90" t="s">
        <v>731</v>
      </c>
      <c r="C293" s="91" t="s">
        <v>732</v>
      </c>
      <c r="D293" s="86">
        <v>690</v>
      </c>
    </row>
    <row r="294" spans="1:4" ht="19">
      <c r="A294" s="90" t="s">
        <v>733</v>
      </c>
      <c r="B294" s="90" t="s">
        <v>733</v>
      </c>
      <c r="C294" s="91" t="s">
        <v>734</v>
      </c>
      <c r="D294" s="86">
        <v>1005</v>
      </c>
    </row>
    <row r="295" spans="1:4" ht="19">
      <c r="A295" s="90" t="s">
        <v>735</v>
      </c>
      <c r="B295" s="90" t="s">
        <v>735</v>
      </c>
      <c r="C295" s="91" t="s">
        <v>736</v>
      </c>
      <c r="D295" s="86">
        <v>1176</v>
      </c>
    </row>
    <row r="296" spans="1:4" ht="18">
      <c r="A296" s="90"/>
      <c r="B296" s="111"/>
      <c r="C296" s="91"/>
      <c r="D296" s="86"/>
    </row>
    <row r="297" spans="1:4" ht="19">
      <c r="A297" s="112" t="s">
        <v>737</v>
      </c>
      <c r="B297" s="113"/>
      <c r="C297" s="114" t="s">
        <v>738</v>
      </c>
      <c r="D297" s="115">
        <v>132</v>
      </c>
    </row>
    <row r="298" spans="1:4" ht="19">
      <c r="A298" s="112" t="s">
        <v>739</v>
      </c>
      <c r="B298" s="113"/>
      <c r="C298" s="114" t="s">
        <v>740</v>
      </c>
      <c r="D298" s="115">
        <v>136</v>
      </c>
    </row>
    <row r="299" spans="1:4" ht="19">
      <c r="A299" s="112" t="s">
        <v>741</v>
      </c>
      <c r="B299" s="113"/>
      <c r="C299" s="114" t="s">
        <v>742</v>
      </c>
      <c r="D299" s="115">
        <v>150</v>
      </c>
    </row>
    <row r="300" spans="1:4" ht="19">
      <c r="A300" s="112" t="s">
        <v>743</v>
      </c>
      <c r="B300" s="113"/>
      <c r="C300" s="114" t="s">
        <v>744</v>
      </c>
      <c r="D300" s="115">
        <v>185</v>
      </c>
    </row>
    <row r="301" spans="1:4" ht="19">
      <c r="A301" s="112" t="s">
        <v>745</v>
      </c>
      <c r="B301" s="113"/>
      <c r="C301" s="114" t="s">
        <v>746</v>
      </c>
      <c r="D301" s="115">
        <v>1280</v>
      </c>
    </row>
    <row r="302" spans="1:4" ht="19">
      <c r="A302" s="112" t="s">
        <v>747</v>
      </c>
      <c r="B302" s="113"/>
      <c r="C302" s="114" t="s">
        <v>746</v>
      </c>
      <c r="D302" s="115">
        <v>1280</v>
      </c>
    </row>
    <row r="303" spans="1:4" ht="19">
      <c r="A303" s="112" t="s">
        <v>748</v>
      </c>
      <c r="B303" s="113"/>
      <c r="C303" s="114" t="s">
        <v>749</v>
      </c>
      <c r="D303" s="115">
        <v>382</v>
      </c>
    </row>
    <row r="304" spans="1:4" ht="19">
      <c r="A304" s="112" t="s">
        <v>750</v>
      </c>
      <c r="B304" s="113"/>
      <c r="C304" s="114" t="s">
        <v>751</v>
      </c>
      <c r="D304" s="115">
        <v>755</v>
      </c>
    </row>
    <row r="305" spans="1:4" ht="19">
      <c r="A305" s="112" t="s">
        <v>752</v>
      </c>
      <c r="B305" s="113"/>
      <c r="C305" s="114" t="s">
        <v>753</v>
      </c>
      <c r="D305" s="115">
        <v>1020</v>
      </c>
    </row>
    <row r="306" spans="1:4" ht="19">
      <c r="A306" s="112" t="s">
        <v>754</v>
      </c>
      <c r="B306" s="113"/>
      <c r="C306" s="114" t="s">
        <v>755</v>
      </c>
      <c r="D306" s="115">
        <v>1280</v>
      </c>
    </row>
    <row r="307" spans="1:4" ht="19">
      <c r="A307" s="112" t="s">
        <v>756</v>
      </c>
      <c r="B307" s="113"/>
      <c r="C307" s="114" t="s">
        <v>757</v>
      </c>
      <c r="D307" s="115">
        <v>1520</v>
      </c>
    </row>
    <row r="308" spans="1:4" ht="19">
      <c r="A308" s="112" t="s">
        <v>758</v>
      </c>
      <c r="B308" s="113"/>
      <c r="C308" s="114" t="s">
        <v>759</v>
      </c>
      <c r="D308" s="115">
        <v>1750</v>
      </c>
    </row>
    <row r="309" spans="1:4" ht="18">
      <c r="A309" s="92" t="s">
        <v>760</v>
      </c>
      <c r="B309" s="92"/>
      <c r="C309" s="116"/>
      <c r="D309" s="86">
        <v>11</v>
      </c>
    </row>
    <row r="310" spans="1:4" ht="18">
      <c r="A310" s="92" t="s">
        <v>761</v>
      </c>
      <c r="B310" s="92"/>
      <c r="C310" s="116"/>
      <c r="D310" s="86">
        <v>15</v>
      </c>
    </row>
    <row r="311" spans="1:4" ht="18">
      <c r="A311" s="92" t="s">
        <v>762</v>
      </c>
      <c r="B311" s="92"/>
      <c r="C311" s="116"/>
      <c r="D311" s="86">
        <v>17</v>
      </c>
    </row>
    <row r="312" spans="1:4" ht="18">
      <c r="A312" s="92" t="s">
        <v>763</v>
      </c>
      <c r="B312" s="92" t="s">
        <v>763</v>
      </c>
      <c r="C312" s="116">
        <v>17317100004857</v>
      </c>
      <c r="D312" s="86">
        <v>19</v>
      </c>
    </row>
    <row r="313" spans="1:4" ht="18">
      <c r="A313" s="117" t="s">
        <v>764</v>
      </c>
      <c r="B313" s="117"/>
      <c r="C313" s="118" t="s">
        <v>765</v>
      </c>
      <c r="D313" s="97">
        <v>15</v>
      </c>
    </row>
    <row r="314" spans="1:4" ht="18">
      <c r="A314" s="119" t="s">
        <v>766</v>
      </c>
      <c r="B314" s="119" t="s">
        <v>767</v>
      </c>
      <c r="C314" s="120" t="s">
        <v>768</v>
      </c>
      <c r="D314" s="97"/>
    </row>
    <row r="315" spans="1:4" ht="18">
      <c r="A315" s="119" t="s">
        <v>766</v>
      </c>
      <c r="B315" s="119" t="s">
        <v>766</v>
      </c>
      <c r="C315" s="121"/>
      <c r="D315" s="122">
        <v>21</v>
      </c>
    </row>
    <row r="316" spans="1:4" ht="18">
      <c r="A316" s="117" t="s">
        <v>769</v>
      </c>
      <c r="B316" s="117" t="s">
        <v>769</v>
      </c>
      <c r="C316" s="118" t="s">
        <v>770</v>
      </c>
      <c r="D316" s="97">
        <v>40</v>
      </c>
    </row>
    <row r="317" spans="1:4" ht="18">
      <c r="A317" s="92" t="s">
        <v>771</v>
      </c>
      <c r="B317" s="92"/>
      <c r="C317" s="116"/>
      <c r="D317" s="86">
        <v>19</v>
      </c>
    </row>
    <row r="318" spans="1:4" ht="18">
      <c r="A318" s="119" t="s">
        <v>772</v>
      </c>
      <c r="B318" s="119"/>
      <c r="C318" s="121"/>
      <c r="D318" s="122">
        <v>59</v>
      </c>
    </row>
    <row r="319" spans="1:4" ht="18">
      <c r="A319" s="117" t="s">
        <v>773</v>
      </c>
      <c r="B319" s="117" t="s">
        <v>773</v>
      </c>
      <c r="C319" s="118" t="s">
        <v>774</v>
      </c>
      <c r="D319" s="97">
        <v>90</v>
      </c>
    </row>
    <row r="320" spans="1:4" ht="18">
      <c r="A320" s="92" t="s">
        <v>775</v>
      </c>
      <c r="B320" s="92"/>
      <c r="C320" s="98" t="s">
        <v>776</v>
      </c>
      <c r="D320" s="86">
        <v>82</v>
      </c>
    </row>
    <row r="321" spans="1:4" ht="19">
      <c r="A321" s="123" t="s">
        <v>777</v>
      </c>
      <c r="B321" s="123"/>
      <c r="C321" s="123"/>
      <c r="D321" s="122">
        <v>51</v>
      </c>
    </row>
    <row r="322" spans="1:4" ht="19">
      <c r="A322" s="100" t="s">
        <v>778</v>
      </c>
      <c r="B322" s="100"/>
      <c r="C322" s="101" t="s">
        <v>779</v>
      </c>
      <c r="D322" s="97">
        <v>50</v>
      </c>
    </row>
    <row r="323" spans="1:4" ht="19">
      <c r="A323" s="124" t="s">
        <v>780</v>
      </c>
      <c r="B323" s="124" t="s">
        <v>781</v>
      </c>
      <c r="C323" s="125" t="s">
        <v>782</v>
      </c>
      <c r="D323" s="86">
        <v>18</v>
      </c>
    </row>
    <row r="324" spans="1:4" ht="18">
      <c r="A324" s="92" t="s">
        <v>783</v>
      </c>
      <c r="B324" s="92" t="s">
        <v>784</v>
      </c>
      <c r="C324" s="116">
        <v>17211300000013</v>
      </c>
      <c r="D324" s="86">
        <v>28</v>
      </c>
    </row>
    <row r="325" spans="1:4" ht="18">
      <c r="A325" s="92" t="s">
        <v>785</v>
      </c>
      <c r="B325" s="92"/>
      <c r="C325" s="116"/>
      <c r="D325" s="86">
        <v>28</v>
      </c>
    </row>
    <row r="326" spans="1:4" ht="18">
      <c r="A326" s="92" t="s">
        <v>786</v>
      </c>
      <c r="B326" s="92"/>
      <c r="C326" s="116"/>
      <c r="D326" s="86">
        <v>59</v>
      </c>
    </row>
    <row r="327" spans="1:4" ht="18">
      <c r="A327" s="92" t="s">
        <v>787</v>
      </c>
      <c r="B327" s="92"/>
      <c r="C327" s="116"/>
      <c r="D327" s="86">
        <v>45</v>
      </c>
    </row>
    <row r="328" spans="1:4" ht="18">
      <c r="A328" s="92" t="s">
        <v>788</v>
      </c>
      <c r="B328" s="92"/>
      <c r="C328" s="116"/>
      <c r="D328" s="86">
        <v>33</v>
      </c>
    </row>
    <row r="329" spans="1:4" ht="19">
      <c r="A329" s="126" t="s">
        <v>789</v>
      </c>
      <c r="B329" s="126"/>
      <c r="C329" s="123"/>
      <c r="D329" s="122">
        <v>236</v>
      </c>
    </row>
    <row r="330" spans="1:4" ht="18">
      <c r="A330" s="92" t="s">
        <v>790</v>
      </c>
      <c r="B330" s="92"/>
      <c r="C330" s="116"/>
      <c r="D330" s="86">
        <v>38</v>
      </c>
    </row>
    <row r="331" spans="1:4" ht="18">
      <c r="A331" s="92" t="s">
        <v>791</v>
      </c>
      <c r="B331" s="92"/>
      <c r="C331" s="116"/>
      <c r="D331" s="86">
        <v>62</v>
      </c>
    </row>
    <row r="332" spans="1:4" ht="19">
      <c r="A332" s="107" t="s">
        <v>792</v>
      </c>
      <c r="B332" s="107"/>
      <c r="C332" s="125" t="s">
        <v>793</v>
      </c>
      <c r="D332" s="86">
        <v>859</v>
      </c>
    </row>
    <row r="333" spans="1:4" ht="19">
      <c r="A333" s="107" t="s">
        <v>794</v>
      </c>
      <c r="B333" s="107" t="s">
        <v>795</v>
      </c>
      <c r="C333" s="125" t="s">
        <v>796</v>
      </c>
      <c r="D333" s="86">
        <v>859</v>
      </c>
    </row>
    <row r="334" spans="1:4" ht="19">
      <c r="A334" s="124" t="s">
        <v>797</v>
      </c>
      <c r="B334" s="124"/>
      <c r="C334" s="125" t="s">
        <v>798</v>
      </c>
      <c r="D334" s="86">
        <v>859</v>
      </c>
    </row>
    <row r="335" spans="1:4" ht="19">
      <c r="A335" s="127" t="s">
        <v>799</v>
      </c>
      <c r="B335" s="127"/>
      <c r="C335" s="128" t="s">
        <v>800</v>
      </c>
      <c r="D335" s="97">
        <v>135</v>
      </c>
    </row>
    <row r="336" spans="1:4" ht="19">
      <c r="A336" s="124" t="s">
        <v>801</v>
      </c>
      <c r="B336" s="124"/>
      <c r="C336" s="124">
        <v>17211200000086</v>
      </c>
      <c r="D336" s="86">
        <v>1290</v>
      </c>
    </row>
    <row r="337" spans="1:4" ht="19">
      <c r="A337" s="124" t="s">
        <v>802</v>
      </c>
      <c r="B337" s="124"/>
      <c r="C337" s="124"/>
      <c r="D337" s="86">
        <v>861</v>
      </c>
    </row>
    <row r="338" spans="1:4" ht="19">
      <c r="A338" s="99" t="s">
        <v>803</v>
      </c>
      <c r="B338" s="99"/>
      <c r="C338" s="91" t="s">
        <v>804</v>
      </c>
      <c r="D338" s="86">
        <v>108</v>
      </c>
    </row>
    <row r="339" spans="1:4" ht="19">
      <c r="A339" s="124" t="s">
        <v>805</v>
      </c>
      <c r="B339" s="124"/>
      <c r="C339" s="91"/>
      <c r="D339" s="86">
        <v>125</v>
      </c>
    </row>
    <row r="340" spans="1:4" ht="19">
      <c r="A340" s="102" t="s">
        <v>806</v>
      </c>
      <c r="B340" s="102" t="s">
        <v>807</v>
      </c>
      <c r="C340" s="129"/>
      <c r="D340" s="86">
        <v>135</v>
      </c>
    </row>
    <row r="341" spans="1:4" ht="19">
      <c r="A341" s="107" t="s">
        <v>808</v>
      </c>
      <c r="B341" s="107" t="s">
        <v>809</v>
      </c>
      <c r="C341" s="124"/>
      <c r="D341" s="86">
        <v>160</v>
      </c>
    </row>
    <row r="342" spans="1:4" ht="19">
      <c r="A342" s="107" t="s">
        <v>810</v>
      </c>
      <c r="B342" s="107" t="s">
        <v>811</v>
      </c>
      <c r="C342" s="124"/>
      <c r="D342" s="86">
        <v>198</v>
      </c>
    </row>
    <row r="343" spans="1:4" ht="19">
      <c r="A343" s="107" t="s">
        <v>812</v>
      </c>
      <c r="B343" s="107" t="s">
        <v>813</v>
      </c>
      <c r="C343" s="124"/>
      <c r="D343" s="86">
        <v>154</v>
      </c>
    </row>
    <row r="344" spans="1:4" ht="19">
      <c r="A344" s="107" t="s">
        <v>814</v>
      </c>
      <c r="B344" s="107" t="s">
        <v>815</v>
      </c>
      <c r="C344" s="124"/>
      <c r="D344" s="86">
        <v>175</v>
      </c>
    </row>
    <row r="345" spans="1:4" ht="19">
      <c r="A345" s="107" t="s">
        <v>816</v>
      </c>
      <c r="B345" s="107" t="s">
        <v>817</v>
      </c>
      <c r="C345" s="125"/>
      <c r="D345" s="86">
        <v>212</v>
      </c>
    </row>
    <row r="346" spans="1:4" ht="19">
      <c r="A346" s="112" t="s">
        <v>818</v>
      </c>
      <c r="B346" s="112" t="s">
        <v>818</v>
      </c>
      <c r="C346" s="130" t="s">
        <v>819</v>
      </c>
      <c r="D346" s="89">
        <v>157</v>
      </c>
    </row>
    <row r="347" spans="1:4" ht="19">
      <c r="A347" s="112" t="s">
        <v>820</v>
      </c>
      <c r="B347" s="112" t="s">
        <v>820</v>
      </c>
      <c r="C347" s="130">
        <v>22012000000008</v>
      </c>
      <c r="D347" s="89">
        <v>163</v>
      </c>
    </row>
    <row r="348" spans="1:4" ht="19">
      <c r="A348" s="112" t="s">
        <v>821</v>
      </c>
      <c r="B348" s="112" t="s">
        <v>821</v>
      </c>
      <c r="C348" s="130" t="s">
        <v>822</v>
      </c>
      <c r="D348" s="89">
        <v>222</v>
      </c>
    </row>
    <row r="349" spans="1:4" ht="19">
      <c r="A349" s="112" t="s">
        <v>823</v>
      </c>
      <c r="B349" s="112" t="s">
        <v>823</v>
      </c>
      <c r="C349" s="130" t="s">
        <v>824</v>
      </c>
      <c r="D349" s="89">
        <v>240</v>
      </c>
    </row>
    <row r="350" spans="1:4" ht="19">
      <c r="A350" s="107" t="s">
        <v>825</v>
      </c>
      <c r="B350" s="107" t="s">
        <v>826</v>
      </c>
      <c r="C350" s="129"/>
      <c r="D350" s="86">
        <v>39</v>
      </c>
    </row>
    <row r="351" spans="1:4" ht="19">
      <c r="A351" s="107" t="s">
        <v>827</v>
      </c>
      <c r="B351" s="107" t="s">
        <v>828</v>
      </c>
      <c r="C351" s="129"/>
      <c r="D351" s="86">
        <v>43</v>
      </c>
    </row>
    <row r="352" spans="1:4" ht="19">
      <c r="A352" s="107" t="s">
        <v>829</v>
      </c>
      <c r="B352" s="107" t="s">
        <v>830</v>
      </c>
      <c r="C352" s="108" t="s">
        <v>831</v>
      </c>
      <c r="D352" s="86">
        <v>39</v>
      </c>
    </row>
    <row r="353" spans="1:4" ht="19">
      <c r="A353" s="107" t="s">
        <v>832</v>
      </c>
      <c r="B353" s="107" t="s">
        <v>833</v>
      </c>
      <c r="C353" s="108" t="s">
        <v>834</v>
      </c>
      <c r="D353" s="86">
        <v>43</v>
      </c>
    </row>
    <row r="354" spans="1:4" ht="18">
      <c r="A354" s="92" t="s">
        <v>835</v>
      </c>
      <c r="B354" s="92" t="s">
        <v>835</v>
      </c>
      <c r="C354" s="116"/>
      <c r="D354" s="86">
        <v>19</v>
      </c>
    </row>
    <row r="355" spans="1:4" ht="18">
      <c r="A355" s="92" t="s">
        <v>836</v>
      </c>
      <c r="B355" s="92" t="s">
        <v>836</v>
      </c>
      <c r="C355" s="116"/>
      <c r="D355" s="86">
        <v>27</v>
      </c>
    </row>
    <row r="356" spans="1:4" ht="18">
      <c r="A356" s="92" t="s">
        <v>837</v>
      </c>
      <c r="B356" s="92" t="s">
        <v>837</v>
      </c>
      <c r="C356" s="131"/>
      <c r="D356" s="86">
        <v>43</v>
      </c>
    </row>
    <row r="357" spans="1:4" ht="19">
      <c r="A357" s="123" t="s">
        <v>838</v>
      </c>
      <c r="B357" s="123" t="s">
        <v>838</v>
      </c>
      <c r="C357" s="132"/>
      <c r="D357" s="122">
        <v>88</v>
      </c>
    </row>
    <row r="358" spans="1:4" ht="18">
      <c r="A358" s="99"/>
      <c r="B358" s="99"/>
      <c r="C358" s="133"/>
      <c r="D358" s="86"/>
    </row>
    <row r="359" spans="1:4" ht="19">
      <c r="A359" s="99" t="s">
        <v>839</v>
      </c>
      <c r="B359" s="99"/>
      <c r="C359" s="133" t="s">
        <v>840</v>
      </c>
      <c r="D359" s="86">
        <v>96</v>
      </c>
    </row>
    <row r="360" spans="1:4" ht="19">
      <c r="A360" s="99" t="s">
        <v>841</v>
      </c>
      <c r="B360" s="99"/>
      <c r="C360" s="133" t="s">
        <v>842</v>
      </c>
      <c r="D360" s="86">
        <v>175</v>
      </c>
    </row>
    <row r="361" spans="1:4" ht="19">
      <c r="A361" s="99" t="s">
        <v>843</v>
      </c>
      <c r="B361" s="99"/>
      <c r="C361" s="133">
        <v>15111700001736</v>
      </c>
      <c r="D361" s="86">
        <v>7.2</v>
      </c>
    </row>
    <row r="362" spans="1:4" ht="19">
      <c r="A362" s="99" t="s">
        <v>844</v>
      </c>
      <c r="B362" s="99"/>
      <c r="C362" s="133" t="s">
        <v>845</v>
      </c>
      <c r="D362" s="86">
        <v>22</v>
      </c>
    </row>
    <row r="363" spans="1:4" ht="19">
      <c r="A363" s="99" t="s">
        <v>846</v>
      </c>
      <c r="B363" s="99"/>
      <c r="C363" s="133" t="s">
        <v>847</v>
      </c>
      <c r="D363" s="86">
        <v>40</v>
      </c>
    </row>
    <row r="364" spans="1:4" ht="19">
      <c r="A364" s="99" t="s">
        <v>848</v>
      </c>
      <c r="B364" s="99"/>
      <c r="C364" s="133" t="s">
        <v>849</v>
      </c>
      <c r="D364" s="86">
        <v>55</v>
      </c>
    </row>
    <row r="365" spans="1:4" ht="19">
      <c r="A365" s="99" t="s">
        <v>850</v>
      </c>
      <c r="B365" s="99"/>
      <c r="C365" s="133" t="s">
        <v>851</v>
      </c>
      <c r="D365" s="86">
        <v>82</v>
      </c>
    </row>
    <row r="366" spans="1:4" ht="19">
      <c r="A366" s="99" t="s">
        <v>852</v>
      </c>
      <c r="B366" s="99"/>
      <c r="C366" s="133" t="s">
        <v>853</v>
      </c>
      <c r="D366" s="86">
        <v>44</v>
      </c>
    </row>
    <row r="367" spans="1:4" ht="19">
      <c r="A367" s="99" t="s">
        <v>854</v>
      </c>
      <c r="B367" s="99"/>
      <c r="C367" s="133" t="s">
        <v>855</v>
      </c>
      <c r="D367" s="86">
        <v>90</v>
      </c>
    </row>
    <row r="368" spans="1:4" ht="19">
      <c r="A368" s="99" t="s">
        <v>856</v>
      </c>
      <c r="B368" s="99"/>
      <c r="C368" s="133" t="s">
        <v>857</v>
      </c>
      <c r="D368" s="86">
        <v>16</v>
      </c>
    </row>
    <row r="369" spans="1:4" ht="18">
      <c r="A369" s="134" t="s">
        <v>858</v>
      </c>
      <c r="B369" s="134" t="s">
        <v>859</v>
      </c>
      <c r="C369" s="135" t="s">
        <v>860</v>
      </c>
      <c r="D369" s="86">
        <v>107</v>
      </c>
    </row>
    <row r="370" spans="1:4" ht="18">
      <c r="A370" s="134" t="s">
        <v>861</v>
      </c>
      <c r="B370" s="134" t="s">
        <v>861</v>
      </c>
      <c r="C370" s="135" t="s">
        <v>862</v>
      </c>
      <c r="D370" s="86">
        <v>160</v>
      </c>
    </row>
    <row r="371" spans="1:4" ht="18">
      <c r="A371" s="134" t="s">
        <v>863</v>
      </c>
      <c r="B371" s="134" t="s">
        <v>863</v>
      </c>
      <c r="C371" s="232" t="s">
        <v>864</v>
      </c>
      <c r="D371" s="86">
        <v>204</v>
      </c>
    </row>
    <row r="372" spans="1:4" ht="18">
      <c r="A372" s="134" t="s">
        <v>865</v>
      </c>
      <c r="B372" s="134" t="s">
        <v>865</v>
      </c>
      <c r="C372" s="135" t="s">
        <v>866</v>
      </c>
      <c r="D372" s="86">
        <v>23</v>
      </c>
    </row>
    <row r="373" spans="1:4" ht="18">
      <c r="A373" s="134" t="s">
        <v>867</v>
      </c>
      <c r="B373" s="134" t="s">
        <v>867</v>
      </c>
      <c r="C373" s="135" t="s">
        <v>868</v>
      </c>
      <c r="D373" s="86">
        <v>28</v>
      </c>
    </row>
    <row r="374" spans="1:4" ht="18">
      <c r="A374" s="134" t="s">
        <v>869</v>
      </c>
      <c r="B374" s="134" t="s">
        <v>869</v>
      </c>
      <c r="C374" s="135" t="s">
        <v>870</v>
      </c>
      <c r="D374" s="86">
        <v>42</v>
      </c>
    </row>
    <row r="375" spans="1:4" ht="18">
      <c r="A375" s="134" t="s">
        <v>871</v>
      </c>
      <c r="B375" s="134" t="s">
        <v>871</v>
      </c>
      <c r="C375" s="135" t="s">
        <v>872</v>
      </c>
      <c r="D375" s="86">
        <v>65</v>
      </c>
    </row>
    <row r="376" spans="1:4" ht="18">
      <c r="A376" s="134" t="s">
        <v>873</v>
      </c>
      <c r="B376" s="134" t="s">
        <v>873</v>
      </c>
      <c r="C376" s="135" t="s">
        <v>874</v>
      </c>
      <c r="D376" s="86">
        <v>99</v>
      </c>
    </row>
    <row r="377" spans="1:4" ht="18">
      <c r="A377" s="134" t="s">
        <v>875</v>
      </c>
      <c r="B377" s="134" t="s">
        <v>876</v>
      </c>
      <c r="C377" s="136" t="s">
        <v>877</v>
      </c>
      <c r="D377" s="86">
        <v>42</v>
      </c>
    </row>
    <row r="378" spans="1:4" ht="18">
      <c r="A378" s="134" t="s">
        <v>878</v>
      </c>
      <c r="B378" s="134" t="s">
        <v>879</v>
      </c>
      <c r="C378" s="136" t="s">
        <v>880</v>
      </c>
      <c r="D378" s="86">
        <v>81</v>
      </c>
    </row>
    <row r="379" spans="1:4" ht="18">
      <c r="A379" s="134" t="s">
        <v>881</v>
      </c>
      <c r="B379" s="134" t="s">
        <v>882</v>
      </c>
      <c r="C379" s="136" t="s">
        <v>883</v>
      </c>
      <c r="D379" s="86">
        <v>152</v>
      </c>
    </row>
    <row r="380" spans="1:4" ht="18">
      <c r="A380" s="134" t="s">
        <v>884</v>
      </c>
      <c r="B380" s="134" t="s">
        <v>884</v>
      </c>
      <c r="C380" s="135" t="s">
        <v>885</v>
      </c>
      <c r="D380" s="86">
        <v>17</v>
      </c>
    </row>
    <row r="381" spans="1:4" ht="18">
      <c r="A381" s="134" t="s">
        <v>886</v>
      </c>
      <c r="B381" s="134" t="s">
        <v>886</v>
      </c>
      <c r="C381" s="135" t="s">
        <v>887</v>
      </c>
      <c r="D381" s="86">
        <v>19</v>
      </c>
    </row>
    <row r="382" spans="1:4" ht="18">
      <c r="A382" s="134" t="s">
        <v>888</v>
      </c>
      <c r="B382" s="134" t="s">
        <v>888</v>
      </c>
      <c r="C382" s="135" t="s">
        <v>889</v>
      </c>
      <c r="D382" s="86">
        <v>37</v>
      </c>
    </row>
    <row r="383" spans="1:4" ht="18">
      <c r="A383" s="134" t="s">
        <v>890</v>
      </c>
      <c r="B383" s="134" t="s">
        <v>890</v>
      </c>
      <c r="C383" s="135" t="s">
        <v>891</v>
      </c>
      <c r="D383" s="86">
        <v>61</v>
      </c>
    </row>
    <row r="384" spans="1:4" ht="18">
      <c r="A384" s="134" t="s">
        <v>892</v>
      </c>
      <c r="B384" s="134" t="s">
        <v>892</v>
      </c>
      <c r="C384" s="136" t="s">
        <v>893</v>
      </c>
      <c r="D384" s="86">
        <v>65</v>
      </c>
    </row>
    <row r="385" spans="1:4" ht="18">
      <c r="A385" s="137" t="s">
        <v>894</v>
      </c>
      <c r="B385" s="137" t="s">
        <v>894</v>
      </c>
      <c r="C385" s="138" t="s">
        <v>895</v>
      </c>
      <c r="D385" s="86">
        <v>81</v>
      </c>
    </row>
    <row r="386" spans="1:4" ht="18">
      <c r="A386" s="84" t="s">
        <v>896</v>
      </c>
      <c r="B386" s="139" t="s">
        <v>896</v>
      </c>
      <c r="C386" s="85" t="s">
        <v>897</v>
      </c>
      <c r="D386" s="86">
        <v>90</v>
      </c>
    </row>
    <row r="387" spans="1:4" ht="18">
      <c r="A387" s="84" t="s">
        <v>898</v>
      </c>
      <c r="B387" s="139" t="s">
        <v>898</v>
      </c>
      <c r="C387" s="85" t="s">
        <v>899</v>
      </c>
      <c r="D387" s="86">
        <v>160</v>
      </c>
    </row>
    <row r="388" spans="1:4" ht="18">
      <c r="A388" s="140" t="s">
        <v>900</v>
      </c>
      <c r="B388" s="139"/>
      <c r="C388" s="85" t="s">
        <v>901</v>
      </c>
      <c r="D388" s="86">
        <v>7.5</v>
      </c>
    </row>
    <row r="389" spans="1:4" ht="18">
      <c r="A389" s="140" t="s">
        <v>902</v>
      </c>
      <c r="B389" s="140" t="s">
        <v>902</v>
      </c>
      <c r="C389" s="85" t="s">
        <v>903</v>
      </c>
      <c r="D389" s="86">
        <v>14.5</v>
      </c>
    </row>
    <row r="390" spans="1:4" ht="18">
      <c r="A390" s="140" t="s">
        <v>904</v>
      </c>
      <c r="B390" s="140" t="s">
        <v>904</v>
      </c>
      <c r="C390" s="85" t="s">
        <v>905</v>
      </c>
      <c r="D390" s="86">
        <v>23</v>
      </c>
    </row>
    <row r="391" spans="1:4" ht="18">
      <c r="A391" s="140" t="s">
        <v>906</v>
      </c>
      <c r="B391" s="140" t="s">
        <v>906</v>
      </c>
      <c r="C391" s="85" t="s">
        <v>907</v>
      </c>
      <c r="D391" s="86">
        <v>26.5</v>
      </c>
    </row>
    <row r="392" spans="1:4" ht="18">
      <c r="A392" s="140" t="s">
        <v>908</v>
      </c>
      <c r="B392" s="139"/>
      <c r="C392" s="85" t="s">
        <v>909</v>
      </c>
      <c r="D392" s="86">
        <v>32</v>
      </c>
    </row>
    <row r="393" spans="1:4" ht="18">
      <c r="A393" s="140" t="s">
        <v>910</v>
      </c>
      <c r="B393" s="139"/>
      <c r="C393" s="85" t="s">
        <v>911</v>
      </c>
      <c r="D393" s="86">
        <v>36</v>
      </c>
    </row>
    <row r="394" spans="1:4" ht="19">
      <c r="A394" s="141" t="s">
        <v>283</v>
      </c>
      <c r="B394" s="90"/>
      <c r="C394" s="91" t="s">
        <v>285</v>
      </c>
      <c r="D394" s="86">
        <v>65</v>
      </c>
    </row>
    <row r="395" spans="1:4" ht="19">
      <c r="A395" s="111" t="s">
        <v>912</v>
      </c>
      <c r="B395" s="90" t="s">
        <v>557</v>
      </c>
      <c r="C395" s="91" t="s">
        <v>558</v>
      </c>
      <c r="D395" s="86">
        <v>20</v>
      </c>
    </row>
    <row r="396" spans="1:4" ht="19">
      <c r="A396" s="111" t="s">
        <v>913</v>
      </c>
      <c r="B396" s="90"/>
      <c r="C396" s="91" t="s">
        <v>914</v>
      </c>
      <c r="D396" s="86">
        <v>36</v>
      </c>
    </row>
    <row r="397" spans="1:4" ht="19">
      <c r="A397" s="111" t="s">
        <v>915</v>
      </c>
      <c r="B397" s="90"/>
      <c r="C397" s="91" t="s">
        <v>916</v>
      </c>
      <c r="D397" s="86">
        <v>36</v>
      </c>
    </row>
    <row r="398" spans="1:4" ht="19">
      <c r="A398" s="111" t="s">
        <v>579</v>
      </c>
      <c r="B398" s="90" t="s">
        <v>580</v>
      </c>
      <c r="C398" s="91" t="s">
        <v>581</v>
      </c>
      <c r="D398" s="86">
        <v>55</v>
      </c>
    </row>
    <row r="399" spans="1:4" ht="19">
      <c r="A399" s="111" t="s">
        <v>917</v>
      </c>
      <c r="B399" s="90"/>
      <c r="C399" s="91" t="s">
        <v>918</v>
      </c>
      <c r="D399" s="86">
        <v>85</v>
      </c>
    </row>
    <row r="400" spans="1:4" ht="19">
      <c r="A400" s="141" t="s">
        <v>919</v>
      </c>
      <c r="B400" s="90" t="s">
        <v>920</v>
      </c>
      <c r="C400" s="91" t="s">
        <v>921</v>
      </c>
      <c r="D400" s="86">
        <v>52</v>
      </c>
    </row>
    <row r="401" spans="1:5" ht="19">
      <c r="A401" s="141" t="s">
        <v>922</v>
      </c>
      <c r="B401" s="90" t="s">
        <v>923</v>
      </c>
      <c r="C401" s="91" t="s">
        <v>924</v>
      </c>
      <c r="D401" s="86">
        <v>30</v>
      </c>
    </row>
    <row r="402" spans="1:5" ht="18">
      <c r="A402" s="90"/>
      <c r="B402" s="90"/>
      <c r="C402" s="91"/>
      <c r="D402" s="86"/>
    </row>
    <row r="403" spans="1:5" ht="19">
      <c r="A403" s="90" t="s">
        <v>795</v>
      </c>
      <c r="B403" s="90" t="s">
        <v>795</v>
      </c>
      <c r="C403" s="91" t="s">
        <v>796</v>
      </c>
      <c r="D403" s="90">
        <v>816</v>
      </c>
    </row>
    <row r="404" spans="1:5" ht="19">
      <c r="A404" s="90" t="s">
        <v>925</v>
      </c>
      <c r="B404" s="90" t="s">
        <v>925</v>
      </c>
      <c r="C404" s="91" t="s">
        <v>926</v>
      </c>
      <c r="D404" s="86">
        <v>7</v>
      </c>
    </row>
    <row r="405" spans="1:5" ht="19">
      <c r="A405" s="90" t="s">
        <v>927</v>
      </c>
      <c r="B405" s="90" t="s">
        <v>927</v>
      </c>
      <c r="C405" s="91" t="s">
        <v>928</v>
      </c>
      <c r="D405" s="86">
        <v>10</v>
      </c>
    </row>
    <row r="406" spans="1:5" ht="19">
      <c r="A406" s="126" t="s">
        <v>929</v>
      </c>
      <c r="B406" s="126" t="s">
        <v>929</v>
      </c>
      <c r="C406" s="142" t="s">
        <v>930</v>
      </c>
      <c r="D406" s="122">
        <v>16</v>
      </c>
    </row>
    <row r="407" spans="1:5" ht="19">
      <c r="A407" s="90" t="s">
        <v>931</v>
      </c>
      <c r="B407" s="90" t="s">
        <v>931</v>
      </c>
      <c r="C407" s="91" t="s">
        <v>932</v>
      </c>
      <c r="D407" s="86">
        <v>23</v>
      </c>
    </row>
    <row r="408" spans="1:5" ht="19">
      <c r="A408" s="90" t="s">
        <v>933</v>
      </c>
      <c r="B408" s="90" t="s">
        <v>933</v>
      </c>
      <c r="C408" s="91" t="s">
        <v>934</v>
      </c>
      <c r="D408" s="86">
        <v>60</v>
      </c>
    </row>
    <row r="409" spans="1:5" ht="19">
      <c r="A409" s="90" t="s">
        <v>935</v>
      </c>
      <c r="B409" s="90" t="s">
        <v>935</v>
      </c>
      <c r="C409" s="91" t="s">
        <v>936</v>
      </c>
      <c r="D409" s="86">
        <v>409</v>
      </c>
      <c r="E409" t="s">
        <v>937</v>
      </c>
    </row>
    <row r="410" spans="1:5" ht="19">
      <c r="A410" s="143" t="s">
        <v>938</v>
      </c>
      <c r="B410" s="143" t="s">
        <v>938</v>
      </c>
      <c r="C410" s="101" t="s">
        <v>939</v>
      </c>
      <c r="D410" s="97">
        <v>1371</v>
      </c>
    </row>
    <row r="411" spans="1:5" ht="19">
      <c r="A411" s="126" t="s">
        <v>940</v>
      </c>
      <c r="B411" s="126" t="s">
        <v>940</v>
      </c>
      <c r="C411" s="142" t="s">
        <v>941</v>
      </c>
      <c r="D411" s="122">
        <v>1283</v>
      </c>
    </row>
    <row r="412" spans="1:5" ht="19">
      <c r="A412" s="143" t="s">
        <v>942</v>
      </c>
      <c r="B412" s="143" t="s">
        <v>942</v>
      </c>
      <c r="C412" s="101" t="s">
        <v>943</v>
      </c>
      <c r="D412" s="97">
        <v>1283</v>
      </c>
    </row>
    <row r="413" spans="1:5" ht="19">
      <c r="A413" s="90" t="s">
        <v>944</v>
      </c>
      <c r="B413" s="90" t="s">
        <v>944</v>
      </c>
      <c r="C413" s="91" t="s">
        <v>945</v>
      </c>
      <c r="D413" s="86">
        <v>1283</v>
      </c>
    </row>
    <row r="414" spans="1:5" ht="19">
      <c r="A414" s="90" t="s">
        <v>946</v>
      </c>
      <c r="B414" s="90" t="s">
        <v>946</v>
      </c>
      <c r="C414" s="91" t="s">
        <v>947</v>
      </c>
      <c r="D414" s="86">
        <v>1283</v>
      </c>
    </row>
    <row r="415" spans="1:5" ht="19">
      <c r="A415" s="126" t="s">
        <v>948</v>
      </c>
      <c r="B415" s="126" t="s">
        <v>948</v>
      </c>
      <c r="C415" s="142" t="s">
        <v>949</v>
      </c>
      <c r="D415" s="122">
        <v>1188</v>
      </c>
    </row>
    <row r="416" spans="1:5" ht="19">
      <c r="A416" s="90" t="s">
        <v>950</v>
      </c>
      <c r="B416" s="90" t="s">
        <v>950</v>
      </c>
      <c r="C416" s="91" t="s">
        <v>951</v>
      </c>
      <c r="D416" s="86">
        <v>1026</v>
      </c>
      <c r="E416" t="s">
        <v>952</v>
      </c>
    </row>
    <row r="417" spans="1:4" ht="19">
      <c r="A417" s="144" t="s">
        <v>953</v>
      </c>
      <c r="B417" s="144" t="s">
        <v>953</v>
      </c>
      <c r="C417" s="145" t="s">
        <v>954</v>
      </c>
      <c r="D417" s="146">
        <v>108</v>
      </c>
    </row>
    <row r="418" spans="1:4" ht="19">
      <c r="A418" s="144" t="s">
        <v>955</v>
      </c>
      <c r="B418" s="144" t="s">
        <v>955</v>
      </c>
      <c r="C418" s="145" t="s">
        <v>956</v>
      </c>
      <c r="D418" s="146">
        <v>131</v>
      </c>
    </row>
    <row r="419" spans="1:4" ht="19">
      <c r="A419" s="90" t="s">
        <v>957</v>
      </c>
      <c r="B419" s="90" t="s">
        <v>773</v>
      </c>
      <c r="C419" s="91" t="s">
        <v>958</v>
      </c>
      <c r="D419" s="84">
        <v>90</v>
      </c>
    </row>
    <row r="420" spans="1:4" ht="19">
      <c r="A420" s="90" t="s">
        <v>959</v>
      </c>
      <c r="B420" s="90" t="s">
        <v>960</v>
      </c>
      <c r="C420" s="91" t="s">
        <v>961</v>
      </c>
      <c r="D420" s="84">
        <v>10.5</v>
      </c>
    </row>
    <row r="421" spans="1:4" ht="19">
      <c r="A421" s="90" t="s">
        <v>962</v>
      </c>
      <c r="B421" s="90" t="s">
        <v>962</v>
      </c>
      <c r="C421" s="91" t="s">
        <v>963</v>
      </c>
      <c r="D421" s="84">
        <v>27</v>
      </c>
    </row>
    <row r="422" spans="1:4" ht="19">
      <c r="A422" s="90" t="s">
        <v>964</v>
      </c>
      <c r="B422" s="90" t="s">
        <v>964</v>
      </c>
      <c r="C422" s="91" t="s">
        <v>965</v>
      </c>
      <c r="D422" s="84">
        <v>38</v>
      </c>
    </row>
    <row r="423" spans="1:4" ht="19">
      <c r="A423" s="90" t="s">
        <v>966</v>
      </c>
      <c r="B423" s="90" t="s">
        <v>966</v>
      </c>
      <c r="C423" s="91" t="s">
        <v>967</v>
      </c>
      <c r="D423" s="84">
        <v>50</v>
      </c>
    </row>
    <row r="424" spans="1:4">
      <c r="A424" s="147"/>
      <c r="B424" s="147"/>
      <c r="C424" s="147"/>
      <c r="D424" s="147"/>
    </row>
    <row r="425" spans="1:4">
      <c r="A425" s="147"/>
      <c r="B425" s="147"/>
      <c r="C425" s="147"/>
      <c r="D425" s="147"/>
    </row>
    <row r="426" spans="1:4">
      <c r="A426" s="147"/>
      <c r="B426" s="147"/>
      <c r="C426" s="147"/>
      <c r="D426" s="147"/>
    </row>
    <row r="427" spans="1:4">
      <c r="A427" s="147"/>
      <c r="B427" s="147"/>
      <c r="C427" s="147"/>
      <c r="D427" s="147"/>
    </row>
    <row r="428" spans="1:4" ht="17">
      <c r="A428" s="148" t="s">
        <v>968</v>
      </c>
      <c r="B428" s="148" t="s">
        <v>969</v>
      </c>
      <c r="C428" s="149" t="s">
        <v>970</v>
      </c>
      <c r="D428" s="150">
        <v>9548</v>
      </c>
    </row>
    <row r="429" spans="1:4" ht="17">
      <c r="A429" s="148" t="s">
        <v>971</v>
      </c>
      <c r="B429" s="148" t="s">
        <v>972</v>
      </c>
      <c r="C429" s="149" t="s">
        <v>973</v>
      </c>
      <c r="D429" s="150">
        <v>10805</v>
      </c>
    </row>
    <row r="430" spans="1:4" ht="17">
      <c r="A430" s="148" t="s">
        <v>974</v>
      </c>
      <c r="B430" s="148" t="s">
        <v>975</v>
      </c>
      <c r="C430" s="149" t="s">
        <v>976</v>
      </c>
      <c r="D430" s="150">
        <v>14138</v>
      </c>
    </row>
    <row r="431" spans="1:4" ht="17">
      <c r="A431" s="148" t="s">
        <v>968</v>
      </c>
      <c r="B431" s="148" t="s">
        <v>977</v>
      </c>
      <c r="C431" s="149" t="s">
        <v>970</v>
      </c>
      <c r="D431" s="150">
        <v>9647</v>
      </c>
    </row>
    <row r="432" spans="1:4" ht="17">
      <c r="A432" s="148" t="s">
        <v>978</v>
      </c>
      <c r="B432" s="148" t="s">
        <v>979</v>
      </c>
      <c r="C432" s="149" t="s">
        <v>980</v>
      </c>
      <c r="D432" s="150">
        <v>13538</v>
      </c>
    </row>
    <row r="433" spans="1:4" ht="17">
      <c r="A433" s="148" t="s">
        <v>981</v>
      </c>
      <c r="B433" s="148" t="s">
        <v>982</v>
      </c>
      <c r="C433" s="149" t="s">
        <v>983</v>
      </c>
      <c r="D433" s="150">
        <v>2258</v>
      </c>
    </row>
    <row r="434" spans="1:4" ht="17">
      <c r="A434" s="148" t="s">
        <v>984</v>
      </c>
      <c r="B434" s="148" t="s">
        <v>985</v>
      </c>
      <c r="C434" s="149" t="s">
        <v>986</v>
      </c>
      <c r="D434" s="150">
        <v>3628</v>
      </c>
    </row>
    <row r="435" spans="1:4" ht="17">
      <c r="A435" s="148" t="s">
        <v>987</v>
      </c>
      <c r="B435" s="148" t="s">
        <v>988</v>
      </c>
      <c r="C435" s="149" t="s">
        <v>989</v>
      </c>
      <c r="D435" s="150">
        <v>4918</v>
      </c>
    </row>
    <row r="436" spans="1:4" ht="17">
      <c r="A436" s="148" t="s">
        <v>990</v>
      </c>
      <c r="B436" s="148" t="s">
        <v>991</v>
      </c>
      <c r="C436" s="149" t="s">
        <v>992</v>
      </c>
      <c r="D436" s="150">
        <v>7791</v>
      </c>
    </row>
    <row r="437" spans="1:4" ht="16">
      <c r="A437" s="148"/>
      <c r="B437" s="148"/>
      <c r="C437" s="148"/>
      <c r="D437" s="150"/>
    </row>
    <row r="438" spans="1:4" ht="17">
      <c r="A438" s="148" t="s">
        <v>993</v>
      </c>
      <c r="B438" s="148" t="s">
        <v>994</v>
      </c>
      <c r="C438" s="149" t="s">
        <v>995</v>
      </c>
      <c r="D438" s="150">
        <v>59</v>
      </c>
    </row>
    <row r="439" spans="1:4" ht="17">
      <c r="A439" s="148" t="s">
        <v>996</v>
      </c>
      <c r="B439" s="148" t="s">
        <v>996</v>
      </c>
      <c r="C439" s="149" t="s">
        <v>997</v>
      </c>
      <c r="D439" s="150">
        <v>82</v>
      </c>
    </row>
    <row r="440" spans="1:4" ht="17">
      <c r="A440" s="148" t="s">
        <v>998</v>
      </c>
      <c r="B440" s="148" t="s">
        <v>998</v>
      </c>
      <c r="C440" s="149" t="s">
        <v>999</v>
      </c>
      <c r="D440" s="150">
        <v>110</v>
      </c>
    </row>
    <row r="441" spans="1:4" ht="17">
      <c r="A441" s="148" t="s">
        <v>1000</v>
      </c>
      <c r="B441" s="148" t="s">
        <v>1000</v>
      </c>
      <c r="C441" s="149" t="s">
        <v>1001</v>
      </c>
      <c r="D441" s="150">
        <v>922</v>
      </c>
    </row>
    <row r="442" spans="1:4" ht="17">
      <c r="A442" s="148" t="s">
        <v>1002</v>
      </c>
      <c r="B442" s="148" t="s">
        <v>1002</v>
      </c>
      <c r="C442" s="149" t="s">
        <v>1003</v>
      </c>
      <c r="D442" s="150">
        <v>1022</v>
      </c>
    </row>
    <row r="443" spans="1:4" ht="17">
      <c r="A443" s="148" t="s">
        <v>1004</v>
      </c>
      <c r="B443" s="148" t="s">
        <v>1004</v>
      </c>
      <c r="C443" s="149" t="s">
        <v>1005</v>
      </c>
      <c r="D443" s="150">
        <v>1548</v>
      </c>
    </row>
    <row r="444" spans="1:4" ht="17">
      <c r="A444" s="148" t="s">
        <v>1006</v>
      </c>
      <c r="B444" s="148" t="s">
        <v>1006</v>
      </c>
      <c r="C444" s="149" t="s">
        <v>1007</v>
      </c>
      <c r="D444" s="150">
        <v>1669</v>
      </c>
    </row>
    <row r="445" spans="1:4" ht="17">
      <c r="A445" s="148" t="s">
        <v>1008</v>
      </c>
      <c r="B445" s="148" t="s">
        <v>1009</v>
      </c>
      <c r="C445" s="149" t="s">
        <v>1010</v>
      </c>
      <c r="D445" s="150">
        <v>1682</v>
      </c>
    </row>
    <row r="446" spans="1:4" ht="17">
      <c r="A446" s="148" t="s">
        <v>1011</v>
      </c>
      <c r="B446" s="148" t="s">
        <v>1012</v>
      </c>
      <c r="C446" s="149" t="s">
        <v>1013</v>
      </c>
      <c r="D446" s="150">
        <v>1842</v>
      </c>
    </row>
    <row r="447" spans="1:4" ht="16">
      <c r="A447" s="148"/>
      <c r="B447" s="148"/>
      <c r="C447" s="148"/>
      <c r="D447" s="150"/>
    </row>
    <row r="448" spans="1:4" ht="17">
      <c r="A448" s="148" t="s">
        <v>1014</v>
      </c>
      <c r="B448" s="148" t="s">
        <v>1014</v>
      </c>
      <c r="C448" s="149" t="s">
        <v>1015</v>
      </c>
      <c r="D448" s="150">
        <v>82</v>
      </c>
    </row>
    <row r="449" spans="1:4" ht="17">
      <c r="A449" s="148" t="s">
        <v>1016</v>
      </c>
      <c r="B449" s="148"/>
      <c r="C449" s="149" t="s">
        <v>1017</v>
      </c>
      <c r="D449" s="150">
        <v>2822</v>
      </c>
    </row>
    <row r="450" spans="1:4" ht="17">
      <c r="A450" s="148" t="s">
        <v>1018</v>
      </c>
      <c r="B450" s="148"/>
      <c r="C450" s="149" t="s">
        <v>1019</v>
      </c>
      <c r="D450" s="150">
        <v>4535</v>
      </c>
    </row>
    <row r="451" spans="1:4" ht="17">
      <c r="A451" s="148" t="s">
        <v>1020</v>
      </c>
      <c r="B451" s="148"/>
      <c r="C451" s="149" t="s">
        <v>1021</v>
      </c>
      <c r="D451" s="150">
        <v>7952</v>
      </c>
    </row>
    <row r="452" spans="1:4" ht="17">
      <c r="A452" s="148" t="s">
        <v>1022</v>
      </c>
      <c r="B452" s="148"/>
      <c r="C452" s="148">
        <v>22027120000338</v>
      </c>
      <c r="D452" s="150">
        <v>28967</v>
      </c>
    </row>
    <row r="453" spans="1:4" ht="17">
      <c r="A453" s="148" t="s">
        <v>1023</v>
      </c>
      <c r="B453" s="148"/>
      <c r="C453" s="148"/>
      <c r="D453" s="150">
        <v>35281</v>
      </c>
    </row>
    <row r="454" spans="1:4" ht="17">
      <c r="A454" s="148" t="s">
        <v>1024</v>
      </c>
      <c r="B454" s="148"/>
      <c r="C454" s="148"/>
      <c r="D454" s="150">
        <v>57936</v>
      </c>
    </row>
    <row r="455" spans="1:4" ht="17">
      <c r="A455" s="148" t="s">
        <v>1025</v>
      </c>
      <c r="B455" s="148"/>
      <c r="C455" s="148"/>
      <c r="D455" s="150">
        <v>64731</v>
      </c>
    </row>
    <row r="456" spans="1:4" ht="17">
      <c r="A456" s="148" t="s">
        <v>1026</v>
      </c>
      <c r="B456" s="148"/>
      <c r="C456" s="148"/>
      <c r="D456" s="150">
        <v>70562</v>
      </c>
    </row>
    <row r="457" spans="1:4" ht="17">
      <c r="A457" s="148" t="s">
        <v>1027</v>
      </c>
      <c r="B457" s="148"/>
      <c r="C457" s="148"/>
      <c r="D457" s="150">
        <v>27519</v>
      </c>
    </row>
    <row r="458" spans="1:4" ht="17">
      <c r="A458" s="148" t="s">
        <v>1028</v>
      </c>
      <c r="B458" s="148"/>
      <c r="C458" s="148"/>
      <c r="D458" s="150">
        <v>33517</v>
      </c>
    </row>
    <row r="459" spans="1:4" ht="17">
      <c r="A459" s="148" t="s">
        <v>1029</v>
      </c>
      <c r="B459" s="148"/>
      <c r="C459" s="148"/>
      <c r="D459" s="150">
        <v>55039</v>
      </c>
    </row>
    <row r="460" spans="1:4" ht="17">
      <c r="A460" s="148" t="s">
        <v>1030</v>
      </c>
      <c r="B460" s="148"/>
      <c r="C460" s="148"/>
      <c r="D460" s="150">
        <v>61494</v>
      </c>
    </row>
    <row r="461" spans="1:4" ht="17">
      <c r="A461" s="148" t="s">
        <v>1031</v>
      </c>
      <c r="B461" s="148"/>
      <c r="C461" s="148"/>
      <c r="D461" s="150">
        <v>67034</v>
      </c>
    </row>
    <row r="462" spans="1:4" ht="16">
      <c r="A462" s="148"/>
      <c r="B462" s="148"/>
      <c r="C462" s="148"/>
      <c r="D462" s="150"/>
    </row>
    <row r="463" spans="1:4" ht="17">
      <c r="A463" s="148"/>
      <c r="B463" s="148" t="s">
        <v>1032</v>
      </c>
      <c r="C463" s="148"/>
      <c r="D463" s="150" t="s">
        <v>1033</v>
      </c>
    </row>
    <row r="464" spans="1:4" ht="17">
      <c r="A464" s="148" t="s">
        <v>1034</v>
      </c>
      <c r="B464" s="148" t="s">
        <v>1034</v>
      </c>
      <c r="C464" s="149" t="s">
        <v>1035</v>
      </c>
      <c r="D464" s="150">
        <v>23912</v>
      </c>
    </row>
    <row r="465" spans="1:5" ht="17">
      <c r="A465" s="148" t="s">
        <v>1036</v>
      </c>
      <c r="B465" s="148" t="s">
        <v>1036</v>
      </c>
      <c r="C465" s="149" t="s">
        <v>1037</v>
      </c>
      <c r="D465" s="150">
        <v>29609</v>
      </c>
    </row>
    <row r="466" spans="1:5" ht="17">
      <c r="A466" s="148" t="s">
        <v>1038</v>
      </c>
      <c r="B466" s="148" t="s">
        <v>1038</v>
      </c>
      <c r="C466" s="149" t="s">
        <v>1039</v>
      </c>
      <c r="D466" s="150">
        <v>34853</v>
      </c>
    </row>
    <row r="467" spans="1:5" ht="17">
      <c r="A467" s="148" t="s">
        <v>1040</v>
      </c>
      <c r="B467" s="148" t="s">
        <v>1040</v>
      </c>
      <c r="C467" s="149" t="s">
        <v>1041</v>
      </c>
      <c r="D467" s="150">
        <v>43577</v>
      </c>
      <c r="E467" t="e">
        <f>(#REF!-D467)/#REF!</f>
        <v>#REF!</v>
      </c>
    </row>
    <row r="468" spans="1:5" ht="17">
      <c r="A468" s="148" t="s">
        <v>1042</v>
      </c>
      <c r="B468" s="148" t="s">
        <v>1042</v>
      </c>
      <c r="C468" s="149" t="s">
        <v>1043</v>
      </c>
      <c r="D468" s="150">
        <v>55262</v>
      </c>
    </row>
    <row r="469" spans="1:5" ht="17">
      <c r="A469" s="148" t="s">
        <v>1044</v>
      </c>
      <c r="B469" s="148" t="s">
        <v>1045</v>
      </c>
      <c r="C469" s="149" t="s">
        <v>1046</v>
      </c>
      <c r="D469" s="150">
        <v>51813</v>
      </c>
    </row>
    <row r="470" spans="1:5" ht="17">
      <c r="A470" s="148" t="s">
        <v>1047</v>
      </c>
      <c r="B470" s="148" t="s">
        <v>1047</v>
      </c>
      <c r="C470" s="149" t="s">
        <v>1048</v>
      </c>
      <c r="D470" s="150">
        <v>55715</v>
      </c>
    </row>
    <row r="471" spans="1:5" ht="17">
      <c r="A471" s="148" t="s">
        <v>1049</v>
      </c>
      <c r="B471" s="148" t="s">
        <v>1049</v>
      </c>
      <c r="C471" s="149" t="s">
        <v>1050</v>
      </c>
      <c r="D471" s="150">
        <v>66081</v>
      </c>
    </row>
    <row r="472" spans="1:5" ht="17">
      <c r="A472" s="148" t="s">
        <v>1051</v>
      </c>
      <c r="B472" s="148" t="s">
        <v>1051</v>
      </c>
      <c r="C472" s="149" t="s">
        <v>1052</v>
      </c>
      <c r="D472" s="150">
        <v>77072</v>
      </c>
    </row>
    <row r="473" spans="1:5" ht="16">
      <c r="A473" s="151" t="s">
        <v>1053</v>
      </c>
      <c r="B473" s="148"/>
      <c r="C473" s="148"/>
      <c r="D473" s="150"/>
    </row>
    <row r="474" spans="1:5" ht="17">
      <c r="A474" s="148" t="s">
        <v>1054</v>
      </c>
      <c r="B474" s="148" t="s">
        <v>1054</v>
      </c>
      <c r="C474" s="148">
        <v>22025221000022</v>
      </c>
      <c r="D474" s="150">
        <v>1555</v>
      </c>
    </row>
    <row r="475" spans="1:5" ht="17">
      <c r="A475" s="148" t="s">
        <v>1055</v>
      </c>
      <c r="B475" s="148" t="s">
        <v>1055</v>
      </c>
      <c r="C475" s="148">
        <v>22025226000024</v>
      </c>
      <c r="D475" s="150">
        <v>220</v>
      </c>
    </row>
    <row r="476" spans="1:5" ht="17">
      <c r="A476" s="148" t="s">
        <v>1056</v>
      </c>
      <c r="B476" s="148" t="s">
        <v>1056</v>
      </c>
      <c r="C476" s="148">
        <v>22025221000022</v>
      </c>
      <c r="D476" s="150">
        <v>1630</v>
      </c>
    </row>
    <row r="477" spans="1:5" ht="17">
      <c r="A477" s="148" t="s">
        <v>1057</v>
      </c>
      <c r="B477" s="148" t="s">
        <v>1057</v>
      </c>
      <c r="C477" s="148">
        <v>22025226000023</v>
      </c>
      <c r="D477" s="150">
        <v>287</v>
      </c>
    </row>
    <row r="478" spans="1:5" ht="17">
      <c r="A478" s="148" t="s">
        <v>1058</v>
      </c>
      <c r="B478" s="148" t="s">
        <v>1058</v>
      </c>
      <c r="C478" s="148">
        <v>22025221000023</v>
      </c>
      <c r="D478" s="150">
        <v>1916</v>
      </c>
    </row>
    <row r="479" spans="1:5" ht="17">
      <c r="A479" s="148" t="s">
        <v>1059</v>
      </c>
      <c r="B479" s="148" t="s">
        <v>1059</v>
      </c>
      <c r="C479" s="148">
        <v>22025226000022</v>
      </c>
      <c r="D479" s="150">
        <v>445</v>
      </c>
    </row>
    <row r="480" spans="1:5" ht="17">
      <c r="A480" s="148" t="s">
        <v>1060</v>
      </c>
      <c r="B480" s="148" t="s">
        <v>1060</v>
      </c>
      <c r="C480" s="148">
        <v>22025221000024</v>
      </c>
      <c r="D480" s="150">
        <v>2460</v>
      </c>
    </row>
    <row r="481" spans="1:5" ht="17">
      <c r="A481" s="148" t="s">
        <v>1061</v>
      </c>
      <c r="B481" s="148" t="s">
        <v>1061</v>
      </c>
      <c r="C481" s="148">
        <v>22025226000025</v>
      </c>
      <c r="D481" s="150">
        <v>610</v>
      </c>
    </row>
    <row r="482" spans="1:5" ht="16">
      <c r="A482" s="148"/>
      <c r="B482" s="148"/>
      <c r="C482" s="148"/>
      <c r="D482" s="150"/>
    </row>
    <row r="483" spans="1:5" ht="17">
      <c r="A483" s="148" t="s">
        <v>1062</v>
      </c>
      <c r="B483" s="148" t="s">
        <v>1063</v>
      </c>
      <c r="C483" s="148">
        <v>21027020001839</v>
      </c>
      <c r="D483" s="150">
        <v>1280</v>
      </c>
      <c r="E483" t="s">
        <v>1064</v>
      </c>
    </row>
    <row r="484" spans="1:5" ht="17">
      <c r="A484" s="148" t="s">
        <v>1065</v>
      </c>
      <c r="B484" s="148" t="s">
        <v>1066</v>
      </c>
      <c r="C484" s="148">
        <v>21027020001839</v>
      </c>
      <c r="D484" s="150">
        <v>1320</v>
      </c>
      <c r="E484" t="s">
        <v>1064</v>
      </c>
    </row>
    <row r="485" spans="1:5" ht="17">
      <c r="A485" s="148" t="s">
        <v>1067</v>
      </c>
      <c r="B485" s="148" t="s">
        <v>1068</v>
      </c>
      <c r="C485" s="148">
        <v>21027020001837</v>
      </c>
      <c r="D485" s="150">
        <v>1365</v>
      </c>
      <c r="E485" t="s">
        <v>1064</v>
      </c>
    </row>
    <row r="486" spans="1:5" ht="17">
      <c r="A486" s="148" t="s">
        <v>1069</v>
      </c>
      <c r="B486" s="148" t="s">
        <v>1070</v>
      </c>
      <c r="C486" s="148">
        <v>21027020001838</v>
      </c>
      <c r="D486" s="150">
        <v>1420</v>
      </c>
      <c r="E486" t="s">
        <v>1064</v>
      </c>
    </row>
    <row r="487" spans="1:5" ht="17">
      <c r="A487" s="148" t="s">
        <v>1071</v>
      </c>
      <c r="B487" s="148" t="s">
        <v>1072</v>
      </c>
      <c r="C487" s="148">
        <v>22027020001585</v>
      </c>
      <c r="D487" s="150">
        <v>1650</v>
      </c>
      <c r="E487" t="s">
        <v>1064</v>
      </c>
    </row>
    <row r="488" spans="1:5" ht="16">
      <c r="A488" s="148"/>
      <c r="B488" s="148"/>
      <c r="C488" s="148"/>
      <c r="D488" s="150"/>
    </row>
    <row r="489" spans="1:5" ht="16">
      <c r="A489" s="148"/>
      <c r="B489" s="148"/>
      <c r="C489" s="148"/>
      <c r="D489" s="150"/>
    </row>
    <row r="490" spans="1:5" ht="17">
      <c r="A490" s="148" t="s">
        <v>1073</v>
      </c>
      <c r="B490" s="148" t="s">
        <v>1073</v>
      </c>
      <c r="C490" s="149" t="s">
        <v>1074</v>
      </c>
      <c r="D490" s="150">
        <v>25862</v>
      </c>
    </row>
    <row r="491" spans="1:5" ht="17">
      <c r="A491" s="148" t="s">
        <v>1075</v>
      </c>
      <c r="B491" s="148" t="s">
        <v>1076</v>
      </c>
      <c r="C491" s="149" t="s">
        <v>1074</v>
      </c>
      <c r="D491" s="150">
        <v>31010</v>
      </c>
    </row>
    <row r="492" spans="1:5" ht="17">
      <c r="A492" s="148" t="s">
        <v>1077</v>
      </c>
      <c r="B492" s="148" t="s">
        <v>1077</v>
      </c>
      <c r="C492" s="149" t="s">
        <v>1074</v>
      </c>
      <c r="D492" s="150">
        <v>36634</v>
      </c>
    </row>
    <row r="493" spans="1:5" ht="17">
      <c r="A493" s="148" t="s">
        <v>1078</v>
      </c>
      <c r="B493" s="148" t="s">
        <v>1078</v>
      </c>
      <c r="C493" s="149" t="s">
        <v>1074</v>
      </c>
      <c r="D493" s="150">
        <v>49906</v>
      </c>
    </row>
    <row r="494" spans="1:5" ht="17">
      <c r="A494" s="148" t="s">
        <v>1079</v>
      </c>
      <c r="B494" s="148" t="s">
        <v>1079</v>
      </c>
      <c r="C494" s="149" t="s">
        <v>1074</v>
      </c>
      <c r="D494" s="150">
        <v>53911</v>
      </c>
    </row>
    <row r="495" spans="1:5" ht="17">
      <c r="A495" s="148" t="s">
        <v>1080</v>
      </c>
      <c r="B495" s="148" t="s">
        <v>1080</v>
      </c>
      <c r="C495" s="149" t="s">
        <v>1074</v>
      </c>
      <c r="D495" s="150">
        <v>58502</v>
      </c>
    </row>
    <row r="496" spans="1:5" ht="17">
      <c r="A496" s="148" t="s">
        <v>1081</v>
      </c>
      <c r="B496" s="148" t="s">
        <v>1081</v>
      </c>
      <c r="C496" s="149" t="s">
        <v>1074</v>
      </c>
      <c r="D496" s="150">
        <v>69586</v>
      </c>
    </row>
    <row r="497" spans="1:4" ht="17">
      <c r="A497" s="148" t="s">
        <v>1082</v>
      </c>
      <c r="B497" s="148" t="s">
        <v>1082</v>
      </c>
      <c r="C497" s="149" t="s">
        <v>1074</v>
      </c>
      <c r="D497" s="150">
        <v>81416</v>
      </c>
    </row>
    <row r="498" spans="1:4" ht="16">
      <c r="A498" s="148"/>
      <c r="B498" s="148"/>
      <c r="C498" s="148"/>
      <c r="D498" s="150"/>
    </row>
    <row r="499" spans="1:4" ht="17">
      <c r="A499" s="148"/>
      <c r="B499" s="148" t="s">
        <v>1083</v>
      </c>
      <c r="C499" s="149" t="s">
        <v>1084</v>
      </c>
      <c r="D499" s="150">
        <v>17002</v>
      </c>
    </row>
    <row r="500" spans="1:4" ht="17">
      <c r="A500" s="148"/>
      <c r="B500" s="148" t="s">
        <v>1085</v>
      </c>
      <c r="C500" s="149" t="s">
        <v>1086</v>
      </c>
      <c r="D500" s="150">
        <v>20370</v>
      </c>
    </row>
    <row r="501" spans="1:4" ht="17">
      <c r="A501" s="148"/>
      <c r="B501" s="148" t="s">
        <v>1087</v>
      </c>
      <c r="C501" s="149" t="s">
        <v>1088</v>
      </c>
      <c r="D501" s="150">
        <v>23075</v>
      </c>
    </row>
    <row r="502" spans="1:4" ht="17">
      <c r="A502" s="148"/>
      <c r="B502" s="148" t="s">
        <v>1089</v>
      </c>
      <c r="C502" s="149" t="s">
        <v>1090</v>
      </c>
      <c r="D502" s="150">
        <v>28566</v>
      </c>
    </row>
    <row r="503" spans="1:4" ht="17">
      <c r="A503" s="148"/>
      <c r="B503" s="148" t="s">
        <v>1091</v>
      </c>
      <c r="C503" s="149" t="s">
        <v>1092</v>
      </c>
      <c r="D503" s="150">
        <v>33301</v>
      </c>
    </row>
    <row r="504" spans="1:4" ht="17">
      <c r="A504" s="148"/>
      <c r="B504" s="148" t="s">
        <v>1093</v>
      </c>
      <c r="C504" s="149" t="s">
        <v>1094</v>
      </c>
      <c r="D504" s="150">
        <v>36502</v>
      </c>
    </row>
    <row r="505" spans="1:4" ht="17">
      <c r="A505" s="148"/>
      <c r="B505" s="148" t="s">
        <v>1095</v>
      </c>
      <c r="C505" s="149" t="s">
        <v>1096</v>
      </c>
      <c r="D505" s="150">
        <v>43704</v>
      </c>
    </row>
    <row r="506" spans="1:4" ht="17">
      <c r="A506" s="148"/>
      <c r="B506" s="148" t="s">
        <v>1097</v>
      </c>
      <c r="C506" s="149" t="s">
        <v>1098</v>
      </c>
      <c r="D506" s="150">
        <v>44864</v>
      </c>
    </row>
    <row r="507" spans="1:4" ht="17">
      <c r="A507" s="148"/>
      <c r="B507" s="148" t="s">
        <v>1099</v>
      </c>
      <c r="C507" s="149" t="s">
        <v>1100</v>
      </c>
      <c r="D507" s="150">
        <v>48190</v>
      </c>
    </row>
    <row r="508" spans="1:4" ht="17">
      <c r="A508" s="148"/>
      <c r="B508" s="148" t="s">
        <v>1101</v>
      </c>
      <c r="C508" s="149" t="s">
        <v>1102</v>
      </c>
      <c r="D508" s="150">
        <v>50450</v>
      </c>
    </row>
    <row r="509" spans="1:4" ht="17">
      <c r="A509" s="148"/>
      <c r="B509" s="148" t="s">
        <v>1103</v>
      </c>
      <c r="C509" s="149" t="s">
        <v>1104</v>
      </c>
      <c r="D509" s="150">
        <v>55519</v>
      </c>
    </row>
    <row r="510" spans="1:4" ht="17">
      <c r="A510" s="148"/>
      <c r="B510" s="148" t="s">
        <v>1105</v>
      </c>
      <c r="C510" s="149" t="s">
        <v>1106</v>
      </c>
      <c r="D510" s="150">
        <v>66098</v>
      </c>
    </row>
    <row r="511" spans="1:4" ht="17">
      <c r="A511" s="148"/>
      <c r="B511" s="148" t="s">
        <v>1107</v>
      </c>
      <c r="C511" s="149" t="s">
        <v>1108</v>
      </c>
      <c r="D511" s="150">
        <v>72901</v>
      </c>
    </row>
    <row r="512" spans="1:4" ht="17">
      <c r="A512" s="148"/>
      <c r="B512" s="148" t="s">
        <v>1109</v>
      </c>
      <c r="C512" s="149" t="s">
        <v>1074</v>
      </c>
      <c r="D512" s="150">
        <v>20676</v>
      </c>
    </row>
    <row r="513" spans="1:4" ht="17">
      <c r="A513" s="148"/>
      <c r="B513" s="148" t="s">
        <v>1110</v>
      </c>
      <c r="C513" s="149" t="s">
        <v>1074</v>
      </c>
      <c r="D513" s="150">
        <v>21447</v>
      </c>
    </row>
    <row r="514" spans="1:4" ht="17">
      <c r="A514" s="148"/>
      <c r="B514" s="148" t="s">
        <v>1111</v>
      </c>
      <c r="C514" s="149" t="s">
        <v>1074</v>
      </c>
      <c r="D514" s="150">
        <v>22686</v>
      </c>
    </row>
    <row r="515" spans="1:4" ht="17">
      <c r="A515" s="148"/>
      <c r="B515" s="148" t="s">
        <v>1112</v>
      </c>
      <c r="C515" s="149" t="s">
        <v>1074</v>
      </c>
      <c r="D515" s="150">
        <v>24954</v>
      </c>
    </row>
    <row r="516" spans="1:4" ht="17">
      <c r="A516" s="148"/>
      <c r="B516" s="148" t="s">
        <v>1113</v>
      </c>
      <c r="C516" s="149" t="s">
        <v>1074</v>
      </c>
      <c r="D516" s="150">
        <v>27374</v>
      </c>
    </row>
    <row r="517" spans="1:4" ht="17">
      <c r="A517" s="148"/>
      <c r="B517" s="148" t="s">
        <v>1114</v>
      </c>
      <c r="C517" s="149" t="s">
        <v>1074</v>
      </c>
      <c r="D517" s="150">
        <v>28667</v>
      </c>
    </row>
    <row r="518" spans="1:4" ht="17">
      <c r="A518" s="148"/>
      <c r="B518" s="148" t="s">
        <v>1115</v>
      </c>
      <c r="C518" s="149" t="s">
        <v>1074</v>
      </c>
      <c r="D518" s="150">
        <v>32489</v>
      </c>
    </row>
    <row r="519" spans="1:4" ht="17">
      <c r="A519" s="148"/>
      <c r="B519" s="148" t="s">
        <v>1116</v>
      </c>
      <c r="C519" s="149" t="s">
        <v>1074</v>
      </c>
      <c r="D519" s="150">
        <v>36658</v>
      </c>
    </row>
    <row r="520" spans="1:4" ht="17">
      <c r="A520" s="148"/>
      <c r="B520" s="148" t="s">
        <v>1117</v>
      </c>
      <c r="C520" s="149" t="s">
        <v>1074</v>
      </c>
      <c r="D520" s="150">
        <v>39680</v>
      </c>
    </row>
    <row r="521" spans="1:4" ht="17">
      <c r="A521" s="148"/>
      <c r="B521" s="148" t="s">
        <v>1118</v>
      </c>
      <c r="C521" s="149" t="s">
        <v>1074</v>
      </c>
      <c r="D521" s="150">
        <v>43031</v>
      </c>
    </row>
    <row r="522" spans="1:4" ht="17">
      <c r="A522" s="148"/>
      <c r="B522" s="148" t="s">
        <v>1119</v>
      </c>
      <c r="C522" s="149" t="s">
        <v>1074</v>
      </c>
      <c r="D522" s="150">
        <v>45612</v>
      </c>
    </row>
    <row r="523" spans="1:4" ht="17">
      <c r="A523" s="148"/>
      <c r="B523" s="148" t="s">
        <v>1120</v>
      </c>
      <c r="C523" s="149" t="s">
        <v>1074</v>
      </c>
      <c r="D523" s="150">
        <v>51816</v>
      </c>
    </row>
    <row r="524" spans="1:4" ht="17">
      <c r="A524" s="148"/>
      <c r="B524" s="148" t="s">
        <v>1121</v>
      </c>
      <c r="C524" s="149" t="s">
        <v>1074</v>
      </c>
      <c r="D524" s="150">
        <v>55491</v>
      </c>
    </row>
    <row r="525" spans="1:4" ht="17">
      <c r="A525" s="148"/>
      <c r="B525" s="148" t="s">
        <v>1122</v>
      </c>
      <c r="C525" s="149" t="s">
        <v>1074</v>
      </c>
      <c r="D525" s="150">
        <v>62644</v>
      </c>
    </row>
    <row r="526" spans="1:4" ht="17">
      <c r="A526" s="148"/>
      <c r="B526" s="148" t="s">
        <v>1123</v>
      </c>
      <c r="C526" s="149" t="s">
        <v>1074</v>
      </c>
      <c r="D526" s="150">
        <v>68916</v>
      </c>
    </row>
    <row r="527" spans="1:4" ht="17">
      <c r="A527" s="148"/>
      <c r="B527" s="148" t="s">
        <v>1124</v>
      </c>
      <c r="C527" s="149" t="s">
        <v>1074</v>
      </c>
      <c r="D527" s="150">
        <v>75370</v>
      </c>
    </row>
    <row r="528" spans="1:4" ht="17">
      <c r="A528" s="148"/>
      <c r="B528" s="148" t="s">
        <v>1125</v>
      </c>
      <c r="C528" s="149" t="s">
        <v>1074</v>
      </c>
      <c r="D528" s="150">
        <v>81956</v>
      </c>
    </row>
    <row r="529" spans="1:4">
      <c r="A529" s="147"/>
      <c r="B529" s="147"/>
      <c r="C529" s="147"/>
    </row>
    <row r="530" spans="1:4">
      <c r="A530" s="147"/>
      <c r="B530" s="147" t="s">
        <v>1126</v>
      </c>
      <c r="C530" s="147"/>
    </row>
    <row r="531" spans="1:4">
      <c r="A531" s="147"/>
      <c r="B531" s="147"/>
      <c r="C531" s="147"/>
    </row>
    <row r="532" spans="1:4" ht="17">
      <c r="A532" s="152" t="s">
        <v>1127</v>
      </c>
      <c r="B532" s="152" t="s">
        <v>1128</v>
      </c>
      <c r="C532" s="149" t="s">
        <v>1129</v>
      </c>
      <c r="D532" s="150">
        <v>1470</v>
      </c>
    </row>
    <row r="533" spans="1:4" ht="17">
      <c r="A533" s="153" t="s">
        <v>1130</v>
      </c>
      <c r="B533" s="152" t="s">
        <v>1131</v>
      </c>
      <c r="C533" s="149" t="s">
        <v>1132</v>
      </c>
      <c r="D533" s="150">
        <v>1605</v>
      </c>
    </row>
    <row r="534" spans="1:4" ht="17">
      <c r="A534" s="153" t="s">
        <v>1133</v>
      </c>
      <c r="B534" s="152" t="s">
        <v>1134</v>
      </c>
      <c r="C534" s="149" t="s">
        <v>1135</v>
      </c>
      <c r="D534" s="150">
        <v>2013</v>
      </c>
    </row>
    <row r="535" spans="1:4" ht="17">
      <c r="A535" s="153" t="s">
        <v>1136</v>
      </c>
      <c r="B535" s="152" t="s">
        <v>1137</v>
      </c>
      <c r="C535" s="149" t="s">
        <v>1138</v>
      </c>
      <c r="D535" s="150">
        <v>2137</v>
      </c>
    </row>
    <row r="536" spans="1:4" ht="17">
      <c r="A536" s="153" t="s">
        <v>1139</v>
      </c>
      <c r="B536" s="152" t="s">
        <v>1140</v>
      </c>
      <c r="C536" s="149" t="s">
        <v>1141</v>
      </c>
      <c r="D536" s="150">
        <v>2975</v>
      </c>
    </row>
    <row r="537" spans="1:4" ht="17">
      <c r="A537" s="153" t="s">
        <v>1142</v>
      </c>
      <c r="B537" s="152" t="s">
        <v>1143</v>
      </c>
      <c r="C537" s="149" t="s">
        <v>1144</v>
      </c>
      <c r="D537" s="150">
        <v>3375</v>
      </c>
    </row>
    <row r="538" spans="1:4" ht="17">
      <c r="A538" s="153" t="s">
        <v>1145</v>
      </c>
      <c r="B538" s="152" t="s">
        <v>1146</v>
      </c>
      <c r="C538" s="149" t="s">
        <v>1147</v>
      </c>
      <c r="D538" s="150">
        <v>4063</v>
      </c>
    </row>
    <row r="539" spans="1:4" ht="17">
      <c r="A539" s="153" t="s">
        <v>1148</v>
      </c>
      <c r="B539" s="152" t="s">
        <v>1149</v>
      </c>
      <c r="C539" s="149" t="s">
        <v>1150</v>
      </c>
      <c r="D539" s="150">
        <v>4234</v>
      </c>
    </row>
    <row r="540" spans="1:4" ht="17">
      <c r="A540" s="153" t="s">
        <v>1151</v>
      </c>
      <c r="B540" s="152" t="s">
        <v>1152</v>
      </c>
      <c r="C540" s="149" t="s">
        <v>1153</v>
      </c>
      <c r="D540" s="150">
        <v>5202</v>
      </c>
    </row>
    <row r="541" spans="1:4" ht="17">
      <c r="A541" s="153" t="s">
        <v>1154</v>
      </c>
      <c r="B541" s="152" t="s">
        <v>1155</v>
      </c>
      <c r="C541" s="149" t="s">
        <v>1156</v>
      </c>
      <c r="D541" s="150">
        <v>6782</v>
      </c>
    </row>
    <row r="542" spans="1:4" ht="17">
      <c r="A542" s="153" t="s">
        <v>1157</v>
      </c>
      <c r="B542" s="152"/>
      <c r="C542" s="149" t="s">
        <v>1158</v>
      </c>
      <c r="D542" s="150">
        <v>940</v>
      </c>
    </row>
    <row r="543" spans="1:4" ht="17">
      <c r="A543" s="153" t="s">
        <v>1159</v>
      </c>
      <c r="B543" s="152"/>
      <c r="C543" s="149" t="s">
        <v>1160</v>
      </c>
      <c r="D543" s="150">
        <v>992</v>
      </c>
    </row>
    <row r="544" spans="1:4" ht="17">
      <c r="A544" s="153" t="s">
        <v>1161</v>
      </c>
      <c r="B544" s="152"/>
      <c r="C544" s="149" t="s">
        <v>1162</v>
      </c>
      <c r="D544" s="150">
        <v>1517</v>
      </c>
    </row>
    <row r="545" spans="1:4" ht="17">
      <c r="A545" s="153" t="s">
        <v>1163</v>
      </c>
      <c r="B545" s="152"/>
      <c r="C545" s="149" t="s">
        <v>1164</v>
      </c>
      <c r="D545" s="150">
        <v>1720</v>
      </c>
    </row>
    <row r="546" spans="1:4" ht="17">
      <c r="A546" s="153" t="s">
        <v>1165</v>
      </c>
      <c r="B546" s="152"/>
      <c r="C546" s="149" t="s">
        <v>1166</v>
      </c>
      <c r="D546" s="150">
        <v>1974</v>
      </c>
    </row>
    <row r="547" spans="1:4" ht="17">
      <c r="A547" s="153" t="s">
        <v>1167</v>
      </c>
      <c r="B547" s="152"/>
      <c r="C547" s="149" t="s">
        <v>1168</v>
      </c>
      <c r="D547" s="150">
        <v>2032</v>
      </c>
    </row>
    <row r="548" spans="1:4" ht="17">
      <c r="A548" s="153" t="s">
        <v>1169</v>
      </c>
      <c r="B548" s="152"/>
      <c r="C548" s="149" t="s">
        <v>1170</v>
      </c>
      <c r="D548" s="150">
        <v>2802</v>
      </c>
    </row>
    <row r="549" spans="1:4" ht="17">
      <c r="A549" s="153" t="s">
        <v>1171</v>
      </c>
      <c r="B549" s="152"/>
      <c r="C549" s="149" t="s">
        <v>1172</v>
      </c>
      <c r="D549" s="150">
        <v>3506</v>
      </c>
    </row>
    <row r="550" spans="1:4" ht="17">
      <c r="A550" s="153" t="s">
        <v>1173</v>
      </c>
      <c r="B550" s="152"/>
      <c r="C550" s="149" t="s">
        <v>1174</v>
      </c>
      <c r="D550" s="150">
        <v>3911</v>
      </c>
    </row>
    <row r="551" spans="1:4" ht="17">
      <c r="A551" s="153" t="s">
        <v>1175</v>
      </c>
      <c r="B551" s="152"/>
      <c r="C551" s="149" t="s">
        <v>1176</v>
      </c>
      <c r="D551" s="150">
        <v>4405</v>
      </c>
    </row>
    <row r="552" spans="1:4" ht="17">
      <c r="A552" s="152" t="s">
        <v>1177</v>
      </c>
      <c r="B552" s="152"/>
      <c r="C552" s="149" t="s">
        <v>1178</v>
      </c>
      <c r="D552" s="150">
        <v>5076</v>
      </c>
    </row>
    <row r="553" spans="1:4" ht="17">
      <c r="A553" s="154" t="s">
        <v>1179</v>
      </c>
      <c r="B553" s="152"/>
      <c r="C553" s="149" t="s">
        <v>1180</v>
      </c>
      <c r="D553" s="155">
        <v>6716</v>
      </c>
    </row>
    <row r="554" spans="1:4">
      <c r="A554" s="147"/>
      <c r="B554" s="147"/>
      <c r="C554" s="147"/>
      <c r="D554" s="147"/>
    </row>
    <row r="555" spans="1:4">
      <c r="A555" s="147"/>
      <c r="B555" s="147"/>
      <c r="C555" s="147"/>
      <c r="D555" s="147"/>
    </row>
    <row r="556" spans="1:4">
      <c r="A556" s="147"/>
      <c r="B556" s="147" t="s">
        <v>1181</v>
      </c>
      <c r="C556" s="147"/>
      <c r="D556" s="147"/>
    </row>
    <row r="557" spans="1:4">
      <c r="A557" s="147"/>
      <c r="B557" s="147"/>
      <c r="C557" s="147"/>
      <c r="D557" s="147"/>
    </row>
    <row r="558" spans="1:4" ht="17">
      <c r="A558" s="156" t="s">
        <v>1182</v>
      </c>
      <c r="B558" s="156" t="s">
        <v>1183</v>
      </c>
      <c r="C558" s="157" t="s">
        <v>1184</v>
      </c>
      <c r="D558" s="150">
        <v>147</v>
      </c>
    </row>
    <row r="559" spans="1:4" ht="17">
      <c r="A559" s="156" t="s">
        <v>1185</v>
      </c>
      <c r="B559" s="156" t="s">
        <v>1186</v>
      </c>
      <c r="C559" s="157" t="s">
        <v>1184</v>
      </c>
      <c r="D559" s="150">
        <v>186</v>
      </c>
    </row>
    <row r="560" spans="1:4" ht="17">
      <c r="A560" s="156" t="s">
        <v>1187</v>
      </c>
      <c r="B560" s="156" t="s">
        <v>1188</v>
      </c>
      <c r="C560" s="157" t="s">
        <v>1184</v>
      </c>
      <c r="D560" s="150">
        <v>222</v>
      </c>
    </row>
    <row r="561" spans="1:4" ht="17">
      <c r="A561" s="156" t="s">
        <v>1189</v>
      </c>
      <c r="B561" s="156" t="s">
        <v>1190</v>
      </c>
      <c r="C561" s="233" t="s">
        <v>1191</v>
      </c>
      <c r="D561" s="158">
        <v>350</v>
      </c>
    </row>
    <row r="562" spans="1:4" ht="17">
      <c r="A562" s="156" t="s">
        <v>1192</v>
      </c>
      <c r="B562" s="156" t="s">
        <v>1193</v>
      </c>
      <c r="C562" s="157" t="s">
        <v>1194</v>
      </c>
      <c r="D562" s="158">
        <v>387</v>
      </c>
    </row>
    <row r="563" spans="1:4" ht="17">
      <c r="A563" s="156" t="s">
        <v>1195</v>
      </c>
      <c r="B563" s="156" t="s">
        <v>1196</v>
      </c>
      <c r="C563" s="157" t="s">
        <v>1197</v>
      </c>
      <c r="D563" s="158">
        <v>436</v>
      </c>
    </row>
    <row r="564" spans="1:4" ht="17">
      <c r="A564" s="159" t="s">
        <v>1198</v>
      </c>
      <c r="B564" s="159" t="s">
        <v>1199</v>
      </c>
      <c r="C564" s="157" t="s">
        <v>1200</v>
      </c>
      <c r="D564" s="150">
        <v>1052</v>
      </c>
    </row>
    <row r="565" spans="1:4" ht="17">
      <c r="A565" s="159" t="s">
        <v>1201</v>
      </c>
      <c r="B565" s="159" t="s">
        <v>1202</v>
      </c>
      <c r="C565" s="157" t="s">
        <v>1203</v>
      </c>
      <c r="D565" s="150">
        <v>1071</v>
      </c>
    </row>
    <row r="566" spans="1:4" ht="17">
      <c r="A566" s="159" t="s">
        <v>1204</v>
      </c>
      <c r="B566" s="159" t="s">
        <v>1205</v>
      </c>
      <c r="C566" s="157" t="s">
        <v>1206</v>
      </c>
      <c r="D566" s="150">
        <v>1368</v>
      </c>
    </row>
    <row r="567" spans="1:4" ht="17">
      <c r="A567" s="152" t="s">
        <v>1207</v>
      </c>
      <c r="B567" s="152" t="s">
        <v>1208</v>
      </c>
      <c r="C567" s="157" t="s">
        <v>1209</v>
      </c>
      <c r="D567" s="150">
        <v>1804</v>
      </c>
    </row>
    <row r="568" spans="1:4" ht="17">
      <c r="A568" s="152" t="s">
        <v>1210</v>
      </c>
      <c r="B568" s="152" t="s">
        <v>1211</v>
      </c>
      <c r="C568" s="157" t="s">
        <v>1212</v>
      </c>
      <c r="D568" s="150">
        <v>2380</v>
      </c>
    </row>
    <row r="569" spans="1:4" ht="17">
      <c r="A569" s="152" t="s">
        <v>1213</v>
      </c>
      <c r="B569" s="152" t="s">
        <v>1214</v>
      </c>
      <c r="C569" s="157" t="s">
        <v>1212</v>
      </c>
      <c r="D569" s="150">
        <v>2644</v>
      </c>
    </row>
    <row r="570" spans="1:4" ht="17">
      <c r="A570" s="152" t="s">
        <v>1215</v>
      </c>
      <c r="B570" s="152" t="s">
        <v>1216</v>
      </c>
      <c r="C570" s="157" t="s">
        <v>1217</v>
      </c>
      <c r="D570" s="150">
        <v>2881</v>
      </c>
    </row>
    <row r="571" spans="1:4" ht="17">
      <c r="A571" s="154" t="s">
        <v>1218</v>
      </c>
      <c r="B571" s="154" t="s">
        <v>1219</v>
      </c>
      <c r="C571" s="157" t="s">
        <v>1220</v>
      </c>
      <c r="D571" s="155">
        <v>4250</v>
      </c>
    </row>
    <row r="572" spans="1:4">
      <c r="A572" s="147"/>
      <c r="B572" s="147"/>
      <c r="C572" s="147"/>
      <c r="D572" s="147"/>
    </row>
    <row r="573" spans="1:4">
      <c r="A573" s="147"/>
      <c r="B573" s="147"/>
      <c r="C573" s="147"/>
      <c r="D573" s="147"/>
    </row>
    <row r="574" spans="1:4">
      <c r="A574" s="147"/>
      <c r="B574" s="147" t="s">
        <v>1221</v>
      </c>
      <c r="C574" s="147"/>
      <c r="D574" s="147"/>
    </row>
    <row r="575" spans="1:4">
      <c r="A575" s="147"/>
      <c r="B575" s="147"/>
      <c r="C575" s="147"/>
      <c r="D575" s="147"/>
    </row>
    <row r="576" spans="1:4">
      <c r="A576" s="147"/>
      <c r="B576" s="147"/>
      <c r="C576" s="147"/>
      <c r="D576" s="147"/>
    </row>
    <row r="577" spans="1:4" ht="17">
      <c r="A577" s="153" t="s">
        <v>1222</v>
      </c>
      <c r="B577" s="153" t="s">
        <v>1223</v>
      </c>
      <c r="C577" s="149" t="s">
        <v>1224</v>
      </c>
      <c r="D577" s="160">
        <v>484</v>
      </c>
    </row>
    <row r="578" spans="1:4" ht="17">
      <c r="A578" s="153" t="s">
        <v>1225</v>
      </c>
      <c r="B578" s="153" t="s">
        <v>1226</v>
      </c>
      <c r="C578" s="149" t="s">
        <v>1227</v>
      </c>
      <c r="D578" s="160">
        <v>497</v>
      </c>
    </row>
    <row r="579" spans="1:4" ht="17">
      <c r="A579" s="153" t="s">
        <v>1228</v>
      </c>
      <c r="B579" s="153" t="s">
        <v>1229</v>
      </c>
      <c r="C579" s="149" t="s">
        <v>1230</v>
      </c>
      <c r="D579" s="160">
        <v>404</v>
      </c>
    </row>
    <row r="580" spans="1:4" ht="17">
      <c r="A580" s="153" t="s">
        <v>1231</v>
      </c>
      <c r="B580" s="153" t="s">
        <v>1232</v>
      </c>
      <c r="C580" s="149" t="s">
        <v>1233</v>
      </c>
      <c r="D580" s="160">
        <v>420</v>
      </c>
    </row>
    <row r="581" spans="1:4" ht="17">
      <c r="A581" s="153" t="s">
        <v>1234</v>
      </c>
      <c r="B581" s="153" t="s">
        <v>1235</v>
      </c>
      <c r="C581" s="149" t="s">
        <v>1236</v>
      </c>
      <c r="D581" s="160">
        <v>372</v>
      </c>
    </row>
    <row r="582" spans="1:4" ht="17">
      <c r="A582" s="153" t="s">
        <v>1237</v>
      </c>
      <c r="B582" s="153" t="s">
        <v>1238</v>
      </c>
      <c r="C582" s="149" t="s">
        <v>1239</v>
      </c>
      <c r="D582" s="160">
        <v>376</v>
      </c>
    </row>
    <row r="583" spans="1:4" ht="17">
      <c r="A583" s="153" t="s">
        <v>1240</v>
      </c>
      <c r="B583" s="153" t="s">
        <v>1241</v>
      </c>
      <c r="C583" s="149" t="s">
        <v>1242</v>
      </c>
      <c r="D583" s="160">
        <v>782</v>
      </c>
    </row>
    <row r="584" spans="1:4" ht="17">
      <c r="A584" s="153" t="s">
        <v>1243</v>
      </c>
      <c r="B584" s="153" t="s">
        <v>1244</v>
      </c>
      <c r="C584" s="149" t="s">
        <v>1200</v>
      </c>
      <c r="D584" s="160">
        <v>1046</v>
      </c>
    </row>
    <row r="585" spans="1:4" ht="17">
      <c r="A585" s="153" t="s">
        <v>1245</v>
      </c>
      <c r="B585" s="153" t="s">
        <v>1246</v>
      </c>
      <c r="C585" s="149" t="s">
        <v>1247</v>
      </c>
      <c r="D585" s="160">
        <v>1085</v>
      </c>
    </row>
    <row r="586" spans="1:4" ht="17">
      <c r="A586" s="153" t="s">
        <v>1248</v>
      </c>
      <c r="B586" s="153" t="s">
        <v>1249</v>
      </c>
      <c r="C586" s="149" t="s">
        <v>1206</v>
      </c>
      <c r="D586" s="160">
        <v>1538</v>
      </c>
    </row>
    <row r="587" spans="1:4" ht="17">
      <c r="A587" s="153" t="s">
        <v>1250</v>
      </c>
      <c r="B587" s="153" t="s">
        <v>1251</v>
      </c>
      <c r="C587" s="149" t="s">
        <v>1252</v>
      </c>
      <c r="D587" s="160">
        <v>490</v>
      </c>
    </row>
    <row r="588" spans="1:4" ht="17">
      <c r="A588" s="153" t="s">
        <v>1253</v>
      </c>
      <c r="B588" s="153" t="s">
        <v>1254</v>
      </c>
      <c r="C588" s="149" t="s">
        <v>1255</v>
      </c>
      <c r="D588" s="160">
        <v>506</v>
      </c>
    </row>
    <row r="589" spans="1:4" ht="17">
      <c r="A589" s="153" t="s">
        <v>1256</v>
      </c>
      <c r="B589" s="153" t="s">
        <v>1257</v>
      </c>
      <c r="C589" s="149" t="s">
        <v>1258</v>
      </c>
      <c r="D589" s="160">
        <v>410</v>
      </c>
    </row>
    <row r="590" spans="1:4" ht="17">
      <c r="A590" s="153" t="s">
        <v>1259</v>
      </c>
      <c r="B590" s="153" t="s">
        <v>1260</v>
      </c>
      <c r="C590" s="149" t="s">
        <v>1261</v>
      </c>
      <c r="D590" s="160">
        <v>428</v>
      </c>
    </row>
    <row r="591" spans="1:4" ht="17">
      <c r="A591" s="153" t="s">
        <v>1262</v>
      </c>
      <c r="B591" s="153" t="s">
        <v>1263</v>
      </c>
      <c r="C591" s="149" t="s">
        <v>1264</v>
      </c>
      <c r="D591" s="160">
        <v>376</v>
      </c>
    </row>
    <row r="592" spans="1:4" ht="17">
      <c r="A592" s="161" t="s">
        <v>1265</v>
      </c>
      <c r="B592" s="153" t="s">
        <v>1266</v>
      </c>
      <c r="C592" s="149" t="s">
        <v>1267</v>
      </c>
      <c r="D592" s="160">
        <v>381</v>
      </c>
    </row>
    <row r="593" spans="1:4" ht="17">
      <c r="A593" s="153" t="s">
        <v>1268</v>
      </c>
      <c r="B593" s="153" t="s">
        <v>1269</v>
      </c>
      <c r="C593" s="149" t="s">
        <v>1270</v>
      </c>
      <c r="D593" s="160">
        <v>802</v>
      </c>
    </row>
    <row r="594" spans="1:4" ht="17">
      <c r="A594" s="153" t="s">
        <v>1271</v>
      </c>
      <c r="B594" s="153" t="s">
        <v>1272</v>
      </c>
      <c r="C594" s="149" t="s">
        <v>1273</v>
      </c>
      <c r="D594" s="160">
        <v>1144</v>
      </c>
    </row>
    <row r="595" spans="1:4" ht="17">
      <c r="A595" s="153" t="s">
        <v>1274</v>
      </c>
      <c r="B595" s="153" t="s">
        <v>1275</v>
      </c>
      <c r="C595" s="149" t="s">
        <v>1276</v>
      </c>
      <c r="D595" s="160">
        <v>1159</v>
      </c>
    </row>
    <row r="596" spans="1:4" ht="16">
      <c r="A596" s="162" t="s">
        <v>1277</v>
      </c>
      <c r="B596" s="162" t="s">
        <v>1278</v>
      </c>
      <c r="C596" s="163" t="s">
        <v>1279</v>
      </c>
      <c r="D596" s="160">
        <v>1635</v>
      </c>
    </row>
    <row r="597" spans="1:4" ht="16">
      <c r="A597" s="162" t="s">
        <v>1280</v>
      </c>
      <c r="B597" s="162" t="s">
        <v>1281</v>
      </c>
      <c r="C597" s="163" t="s">
        <v>1282</v>
      </c>
      <c r="D597" s="160">
        <v>852</v>
      </c>
    </row>
    <row r="598" spans="1:4" ht="17">
      <c r="A598" s="164" t="s">
        <v>1243</v>
      </c>
      <c r="B598" s="164" t="s">
        <v>1244</v>
      </c>
      <c r="C598" s="165" t="s">
        <v>1200</v>
      </c>
      <c r="D598" s="166" t="s">
        <v>1283</v>
      </c>
    </row>
    <row r="599" spans="1:4" ht="17">
      <c r="A599" s="152" t="s">
        <v>1284</v>
      </c>
      <c r="B599" s="167" t="s">
        <v>1285</v>
      </c>
      <c r="C599" s="149" t="s">
        <v>1286</v>
      </c>
      <c r="D599" s="168">
        <v>355</v>
      </c>
    </row>
    <row r="600" spans="1:4" ht="17">
      <c r="A600" s="152" t="s">
        <v>1287</v>
      </c>
      <c r="B600" s="152" t="s">
        <v>1288</v>
      </c>
      <c r="C600" s="149" t="s">
        <v>1289</v>
      </c>
      <c r="D600" s="150">
        <v>687</v>
      </c>
    </row>
    <row r="601" spans="1:4" ht="17">
      <c r="A601" s="152" t="s">
        <v>1290</v>
      </c>
      <c r="B601" s="152" t="s">
        <v>1291</v>
      </c>
      <c r="C601" s="149" t="s">
        <v>1292</v>
      </c>
      <c r="D601" s="150">
        <v>376</v>
      </c>
    </row>
    <row r="602" spans="1:4" ht="17">
      <c r="A602" s="152" t="s">
        <v>1293</v>
      </c>
      <c r="B602" s="152" t="s">
        <v>1294</v>
      </c>
      <c r="C602" s="149" t="s">
        <v>1295</v>
      </c>
      <c r="D602" s="150">
        <v>769</v>
      </c>
    </row>
    <row r="603" spans="1:4" ht="17">
      <c r="A603" s="152" t="s">
        <v>1296</v>
      </c>
      <c r="B603" s="152" t="s">
        <v>1297</v>
      </c>
      <c r="C603" s="149" t="s">
        <v>1298</v>
      </c>
      <c r="D603" s="150">
        <v>862</v>
      </c>
    </row>
    <row r="604" spans="1:4" ht="17">
      <c r="A604" s="152" t="s">
        <v>1299</v>
      </c>
      <c r="B604" s="152" t="s">
        <v>1300</v>
      </c>
      <c r="C604" s="149" t="s">
        <v>1301</v>
      </c>
      <c r="D604" s="150">
        <v>460</v>
      </c>
    </row>
    <row r="605" spans="1:4" ht="17">
      <c r="A605" s="153" t="s">
        <v>1302</v>
      </c>
      <c r="B605" s="152" t="s">
        <v>1303</v>
      </c>
      <c r="C605" s="149" t="s">
        <v>1273</v>
      </c>
      <c r="D605" s="150">
        <v>1059</v>
      </c>
    </row>
    <row r="606" spans="1:4" ht="17">
      <c r="A606" s="152" t="s">
        <v>1304</v>
      </c>
      <c r="B606" s="152" t="s">
        <v>1305</v>
      </c>
      <c r="C606" s="149" t="s">
        <v>1306</v>
      </c>
      <c r="D606" s="150">
        <v>1446</v>
      </c>
    </row>
    <row r="607" spans="1:4" ht="17">
      <c r="A607" s="152" t="s">
        <v>1307</v>
      </c>
      <c r="B607" s="152" t="s">
        <v>1308</v>
      </c>
      <c r="C607" s="149" t="s">
        <v>1209</v>
      </c>
      <c r="D607" s="150">
        <v>2092</v>
      </c>
    </row>
    <row r="608" spans="1:4" ht="17">
      <c r="A608" s="169" t="s">
        <v>1309</v>
      </c>
      <c r="B608" s="169" t="s">
        <v>1310</v>
      </c>
      <c r="C608" s="157" t="s">
        <v>1311</v>
      </c>
      <c r="D608" s="150">
        <v>2536</v>
      </c>
    </row>
    <row r="609" spans="1:4" ht="17">
      <c r="A609" s="170" t="s">
        <v>1312</v>
      </c>
      <c r="B609" s="152" t="s">
        <v>1313</v>
      </c>
      <c r="C609" s="149" t="s">
        <v>1267</v>
      </c>
      <c r="D609" s="150">
        <v>359</v>
      </c>
    </row>
    <row r="610" spans="1:4" ht="17">
      <c r="A610" s="152" t="s">
        <v>1259</v>
      </c>
      <c r="B610" s="152" t="s">
        <v>1314</v>
      </c>
      <c r="C610" s="149" t="s">
        <v>1261</v>
      </c>
      <c r="D610" s="150">
        <v>382</v>
      </c>
    </row>
    <row r="611" spans="1:4" ht="17">
      <c r="A611" s="152" t="s">
        <v>1253</v>
      </c>
      <c r="B611" s="152" t="s">
        <v>1315</v>
      </c>
      <c r="C611" s="149" t="s">
        <v>1255</v>
      </c>
      <c r="D611" s="150">
        <v>477</v>
      </c>
    </row>
    <row r="612" spans="1:4" ht="17">
      <c r="A612" s="153" t="s">
        <v>1274</v>
      </c>
      <c r="B612" s="152" t="s">
        <v>1316</v>
      </c>
      <c r="C612" s="149" t="s">
        <v>1276</v>
      </c>
      <c r="D612" s="150">
        <v>1159</v>
      </c>
    </row>
    <row r="613" spans="1:4" ht="17">
      <c r="A613" s="171" t="s">
        <v>1317</v>
      </c>
      <c r="B613" s="172"/>
      <c r="C613" s="173" t="s">
        <v>1286</v>
      </c>
      <c r="D613" s="158">
        <v>366</v>
      </c>
    </row>
    <row r="614" spans="1:4" ht="17">
      <c r="A614" s="171" t="s">
        <v>1318</v>
      </c>
      <c r="B614" s="172"/>
      <c r="C614" s="173" t="s">
        <v>1261</v>
      </c>
      <c r="D614" s="158">
        <v>390</v>
      </c>
    </row>
    <row r="615" spans="1:4" ht="17">
      <c r="A615" s="171" t="s">
        <v>1319</v>
      </c>
      <c r="B615" s="172"/>
      <c r="C615" s="173" t="s">
        <v>1255</v>
      </c>
      <c r="D615" s="158">
        <v>487</v>
      </c>
    </row>
    <row r="616" spans="1:4" ht="15" customHeight="1">
      <c r="A616" s="171" t="s">
        <v>1320</v>
      </c>
      <c r="B616" s="172"/>
      <c r="C616" s="173" t="s">
        <v>576</v>
      </c>
      <c r="D616" s="158">
        <v>384</v>
      </c>
    </row>
    <row r="617" spans="1:4" ht="17">
      <c r="A617" s="171" t="s">
        <v>1321</v>
      </c>
      <c r="B617" s="172"/>
      <c r="C617" s="173" t="s">
        <v>1322</v>
      </c>
      <c r="D617" s="158">
        <v>1182</v>
      </c>
    </row>
    <row r="618" spans="1:4" ht="17">
      <c r="A618" s="153" t="s">
        <v>1323</v>
      </c>
      <c r="B618" s="152"/>
      <c r="C618" s="149" t="s">
        <v>1324</v>
      </c>
      <c r="D618" s="150">
        <v>458</v>
      </c>
    </row>
    <row r="619" spans="1:4" ht="17">
      <c r="A619" s="164" t="s">
        <v>1325</v>
      </c>
      <c r="B619" s="154"/>
      <c r="C619" s="165" t="s">
        <v>1322</v>
      </c>
      <c r="D619" s="155">
        <v>1391</v>
      </c>
    </row>
    <row r="620" spans="1:4">
      <c r="A620" s="147"/>
      <c r="B620" s="147"/>
      <c r="C620" s="147"/>
      <c r="D620" s="147"/>
    </row>
    <row r="621" spans="1:4">
      <c r="A621" s="147"/>
      <c r="B621" s="147"/>
      <c r="C621" s="147"/>
      <c r="D621" s="147"/>
    </row>
    <row r="622" spans="1:4">
      <c r="A622" s="147"/>
      <c r="B622" s="147" t="s">
        <v>1326</v>
      </c>
      <c r="C622" s="147"/>
      <c r="D622" s="147"/>
    </row>
    <row r="623" spans="1:4">
      <c r="A623" s="147"/>
      <c r="B623" s="147"/>
      <c r="C623" s="147"/>
      <c r="D623" s="147"/>
    </row>
    <row r="624" spans="1:4">
      <c r="A624" s="147"/>
      <c r="B624" s="147"/>
      <c r="C624" s="147"/>
      <c r="D624" s="147"/>
    </row>
    <row r="625" spans="1:4">
      <c r="A625" s="174" t="s">
        <v>1327</v>
      </c>
      <c r="B625" s="174" t="s">
        <v>1328</v>
      </c>
      <c r="C625" s="175" t="s">
        <v>1329</v>
      </c>
      <c r="D625" s="176">
        <v>56</v>
      </c>
    </row>
    <row r="626" spans="1:4">
      <c r="A626" s="174" t="s">
        <v>1330</v>
      </c>
      <c r="B626" s="174" t="s">
        <v>1331</v>
      </c>
      <c r="C626" s="177" t="s">
        <v>1332</v>
      </c>
      <c r="D626" s="176">
        <v>65</v>
      </c>
    </row>
    <row r="627" spans="1:4">
      <c r="A627" s="174" t="s">
        <v>1333</v>
      </c>
      <c r="B627" s="174" t="s">
        <v>1334</v>
      </c>
      <c r="C627" s="177" t="s">
        <v>1335</v>
      </c>
      <c r="D627" s="176">
        <v>68</v>
      </c>
    </row>
    <row r="628" spans="1:4">
      <c r="A628" s="174" t="s">
        <v>1336</v>
      </c>
      <c r="B628" s="174" t="s">
        <v>1337</v>
      </c>
      <c r="C628" s="177" t="s">
        <v>1338</v>
      </c>
      <c r="D628" s="176">
        <v>71</v>
      </c>
    </row>
    <row r="629" spans="1:4">
      <c r="A629" s="174" t="s">
        <v>1339</v>
      </c>
      <c r="B629" s="174" t="s">
        <v>1340</v>
      </c>
      <c r="C629" s="177" t="s">
        <v>1341</v>
      </c>
      <c r="D629" s="176">
        <v>81</v>
      </c>
    </row>
    <row r="630" spans="1:4">
      <c r="A630" s="174" t="s">
        <v>1342</v>
      </c>
      <c r="B630" s="174" t="s">
        <v>1343</v>
      </c>
      <c r="C630" s="177" t="s">
        <v>1344</v>
      </c>
      <c r="D630" s="176">
        <v>115</v>
      </c>
    </row>
    <row r="631" spans="1:4">
      <c r="A631" s="174" t="s">
        <v>1345</v>
      </c>
      <c r="B631" s="174" t="s">
        <v>1346</v>
      </c>
      <c r="C631" s="177" t="s">
        <v>1347</v>
      </c>
      <c r="D631" s="176">
        <v>121</v>
      </c>
    </row>
    <row r="632" spans="1:4">
      <c r="A632" s="174" t="s">
        <v>1348</v>
      </c>
      <c r="B632" s="174" t="s">
        <v>1349</v>
      </c>
      <c r="C632" s="177" t="s">
        <v>1350</v>
      </c>
      <c r="D632" s="176">
        <v>136</v>
      </c>
    </row>
    <row r="633" spans="1:4">
      <c r="A633" s="174" t="s">
        <v>1351</v>
      </c>
      <c r="B633" s="174" t="s">
        <v>1352</v>
      </c>
      <c r="C633" s="177" t="s">
        <v>1353</v>
      </c>
      <c r="D633" s="176">
        <v>146</v>
      </c>
    </row>
    <row r="634" spans="1:4">
      <c r="A634" s="174" t="s">
        <v>1354</v>
      </c>
      <c r="B634" s="174" t="s">
        <v>1355</v>
      </c>
      <c r="C634" s="175" t="s">
        <v>1329</v>
      </c>
      <c r="D634" s="176">
        <v>61</v>
      </c>
    </row>
    <row r="635" spans="1:4">
      <c r="A635" s="174" t="s">
        <v>1356</v>
      </c>
      <c r="B635" s="174" t="s">
        <v>1357</v>
      </c>
      <c r="C635" s="177" t="s">
        <v>1332</v>
      </c>
      <c r="D635" s="176">
        <v>70</v>
      </c>
    </row>
    <row r="636" spans="1:4">
      <c r="A636" s="174" t="s">
        <v>1358</v>
      </c>
      <c r="B636" s="174" t="s">
        <v>1359</v>
      </c>
      <c r="C636" s="177" t="s">
        <v>1335</v>
      </c>
      <c r="D636" s="176">
        <v>73</v>
      </c>
    </row>
    <row r="637" spans="1:4">
      <c r="A637" s="174" t="s">
        <v>1360</v>
      </c>
      <c r="B637" s="174" t="s">
        <v>1361</v>
      </c>
      <c r="C637" s="177" t="s">
        <v>1338</v>
      </c>
      <c r="D637" s="176">
        <v>78</v>
      </c>
    </row>
    <row r="638" spans="1:4">
      <c r="A638" s="174" t="s">
        <v>1362</v>
      </c>
      <c r="B638" s="174" t="s">
        <v>1363</v>
      </c>
      <c r="C638" s="177" t="s">
        <v>1341</v>
      </c>
      <c r="D638" s="176">
        <v>87</v>
      </c>
    </row>
    <row r="639" spans="1:4">
      <c r="A639" s="174" t="s">
        <v>1364</v>
      </c>
      <c r="B639" s="174" t="s">
        <v>1365</v>
      </c>
      <c r="C639" s="177" t="s">
        <v>1344</v>
      </c>
      <c r="D639" s="176">
        <v>124</v>
      </c>
    </row>
    <row r="640" spans="1:4">
      <c r="A640" s="174" t="s">
        <v>1366</v>
      </c>
      <c r="B640" s="174" t="s">
        <v>1367</v>
      </c>
      <c r="C640" s="177" t="s">
        <v>1347</v>
      </c>
      <c r="D640" s="176">
        <v>134</v>
      </c>
    </row>
    <row r="641" spans="1:4">
      <c r="A641" s="174" t="s">
        <v>1368</v>
      </c>
      <c r="B641" s="174" t="s">
        <v>1369</v>
      </c>
      <c r="C641" s="177" t="s">
        <v>1350</v>
      </c>
      <c r="D641" s="176">
        <v>149</v>
      </c>
    </row>
    <row r="642" spans="1:4">
      <c r="A642" s="174" t="s">
        <v>1370</v>
      </c>
      <c r="B642" s="174" t="s">
        <v>1371</v>
      </c>
      <c r="C642" s="177" t="s">
        <v>1353</v>
      </c>
      <c r="D642" s="176">
        <v>161</v>
      </c>
    </row>
    <row r="643" spans="1:4">
      <c r="A643" s="178" t="s">
        <v>1372</v>
      </c>
      <c r="B643" s="178" t="s">
        <v>1373</v>
      </c>
      <c r="C643" s="175" t="s">
        <v>1329</v>
      </c>
      <c r="D643" s="176">
        <v>76</v>
      </c>
    </row>
    <row r="644" spans="1:4">
      <c r="A644" s="178" t="s">
        <v>1374</v>
      </c>
      <c r="B644" s="178" t="s">
        <v>1375</v>
      </c>
      <c r="C644" s="177" t="s">
        <v>1332</v>
      </c>
      <c r="D644" s="176">
        <v>81</v>
      </c>
    </row>
    <row r="645" spans="1:4">
      <c r="A645" s="178" t="s">
        <v>1376</v>
      </c>
      <c r="B645" s="178" t="s">
        <v>1377</v>
      </c>
      <c r="C645" s="177" t="s">
        <v>1335</v>
      </c>
      <c r="D645" s="176">
        <v>87</v>
      </c>
    </row>
    <row r="646" spans="1:4">
      <c r="A646" s="178" t="s">
        <v>1378</v>
      </c>
      <c r="B646" s="178" t="s">
        <v>1379</v>
      </c>
      <c r="C646" s="177" t="s">
        <v>1338</v>
      </c>
      <c r="D646" s="176">
        <v>98</v>
      </c>
    </row>
    <row r="647" spans="1:4">
      <c r="A647" s="178" t="s">
        <v>1380</v>
      </c>
      <c r="B647" s="178" t="s">
        <v>1381</v>
      </c>
      <c r="C647" s="177" t="s">
        <v>1341</v>
      </c>
      <c r="D647" s="176">
        <v>111</v>
      </c>
    </row>
    <row r="648" spans="1:4">
      <c r="A648" s="178" t="s">
        <v>1382</v>
      </c>
      <c r="B648" s="178" t="s">
        <v>1383</v>
      </c>
      <c r="C648" s="177" t="s">
        <v>1344</v>
      </c>
      <c r="D648" s="176">
        <v>136</v>
      </c>
    </row>
    <row r="649" spans="1:4">
      <c r="A649" s="178" t="s">
        <v>1384</v>
      </c>
      <c r="B649" s="178" t="s">
        <v>1385</v>
      </c>
      <c r="C649" s="177" t="s">
        <v>1347</v>
      </c>
      <c r="D649" s="176">
        <v>153</v>
      </c>
    </row>
    <row r="650" spans="1:4">
      <c r="A650" s="178" t="s">
        <v>1386</v>
      </c>
      <c r="B650" s="178" t="s">
        <v>1387</v>
      </c>
      <c r="C650" s="177" t="s">
        <v>1350</v>
      </c>
      <c r="D650" s="176">
        <v>164</v>
      </c>
    </row>
    <row r="651" spans="1:4">
      <c r="A651" s="178" t="s">
        <v>1388</v>
      </c>
      <c r="B651" s="178" t="s">
        <v>1389</v>
      </c>
      <c r="C651" s="177" t="s">
        <v>1353</v>
      </c>
      <c r="D651" s="176">
        <v>183</v>
      </c>
    </row>
    <row r="652" spans="1:4">
      <c r="A652" s="178" t="s">
        <v>1390</v>
      </c>
      <c r="B652" s="178" t="s">
        <v>1391</v>
      </c>
      <c r="C652" s="175" t="s">
        <v>1329</v>
      </c>
      <c r="D652" s="176">
        <v>78</v>
      </c>
    </row>
    <row r="653" spans="1:4">
      <c r="A653" s="178" t="s">
        <v>1392</v>
      </c>
      <c r="B653" s="178" t="s">
        <v>1393</v>
      </c>
      <c r="C653" s="177" t="s">
        <v>1332</v>
      </c>
      <c r="D653" s="176">
        <v>84</v>
      </c>
    </row>
    <row r="654" spans="1:4">
      <c r="A654" s="178" t="s">
        <v>1394</v>
      </c>
      <c r="B654" s="178" t="s">
        <v>1395</v>
      </c>
      <c r="C654" s="177" t="s">
        <v>1335</v>
      </c>
      <c r="D654" s="176">
        <v>90</v>
      </c>
    </row>
    <row r="655" spans="1:4">
      <c r="A655" s="178" t="s">
        <v>1396</v>
      </c>
      <c r="B655" s="178" t="s">
        <v>1397</v>
      </c>
      <c r="C655" s="177" t="s">
        <v>1338</v>
      </c>
      <c r="D655" s="176">
        <v>101</v>
      </c>
    </row>
    <row r="656" spans="1:4">
      <c r="A656" s="178" t="s">
        <v>1398</v>
      </c>
      <c r="B656" s="178" t="s">
        <v>1399</v>
      </c>
      <c r="C656" s="177" t="s">
        <v>1341</v>
      </c>
      <c r="D656" s="176">
        <v>114</v>
      </c>
    </row>
    <row r="657" spans="1:4">
      <c r="A657" s="178" t="s">
        <v>1400</v>
      </c>
      <c r="B657" s="178" t="s">
        <v>1401</v>
      </c>
      <c r="C657" s="177" t="s">
        <v>1344</v>
      </c>
      <c r="D657" s="176">
        <v>140</v>
      </c>
    </row>
    <row r="658" spans="1:4">
      <c r="A658" s="178" t="s">
        <v>1402</v>
      </c>
      <c r="B658" s="178" t="s">
        <v>1403</v>
      </c>
      <c r="C658" s="177" t="s">
        <v>1347</v>
      </c>
      <c r="D658" s="176">
        <v>156</v>
      </c>
    </row>
    <row r="659" spans="1:4">
      <c r="A659" s="178" t="s">
        <v>1404</v>
      </c>
      <c r="B659" s="178" t="s">
        <v>1405</v>
      </c>
      <c r="C659" s="177" t="s">
        <v>1350</v>
      </c>
      <c r="D659" s="176">
        <v>168</v>
      </c>
    </row>
    <row r="660" spans="1:4">
      <c r="A660" s="178" t="s">
        <v>1406</v>
      </c>
      <c r="B660" s="178" t="s">
        <v>1407</v>
      </c>
      <c r="C660" s="177" t="s">
        <v>1353</v>
      </c>
      <c r="D660" s="176">
        <v>186</v>
      </c>
    </row>
    <row r="661" spans="1:4">
      <c r="A661" s="174" t="s">
        <v>1408</v>
      </c>
      <c r="B661" s="174" t="s">
        <v>1409</v>
      </c>
      <c r="C661" s="80" t="s">
        <v>1410</v>
      </c>
      <c r="D661" s="176">
        <v>61</v>
      </c>
    </row>
    <row r="662" spans="1:4">
      <c r="A662" s="174" t="s">
        <v>1411</v>
      </c>
      <c r="B662" s="174" t="s">
        <v>1412</v>
      </c>
      <c r="C662" s="80" t="s">
        <v>1413</v>
      </c>
      <c r="D662" s="176">
        <v>67</v>
      </c>
    </row>
    <row r="663" spans="1:4">
      <c r="A663" s="174" t="s">
        <v>1414</v>
      </c>
      <c r="B663" s="174" t="s">
        <v>1415</v>
      </c>
      <c r="C663" s="80" t="s">
        <v>1416</v>
      </c>
      <c r="D663" s="176">
        <v>73</v>
      </c>
    </row>
    <row r="664" spans="1:4">
      <c r="A664" s="174" t="s">
        <v>1417</v>
      </c>
      <c r="B664" s="174" t="s">
        <v>1418</v>
      </c>
      <c r="C664" s="80" t="s">
        <v>1419</v>
      </c>
      <c r="D664" s="176">
        <v>80</v>
      </c>
    </row>
    <row r="665" spans="1:4">
      <c r="A665" s="174" t="s">
        <v>1420</v>
      </c>
      <c r="B665" s="174" t="s">
        <v>1421</v>
      </c>
      <c r="C665" s="80" t="s">
        <v>1422</v>
      </c>
      <c r="D665" s="176">
        <v>86</v>
      </c>
    </row>
    <row r="666" spans="1:4">
      <c r="A666" s="174" t="s">
        <v>1423</v>
      </c>
      <c r="B666" s="174" t="s">
        <v>1424</v>
      </c>
      <c r="C666" s="80" t="s">
        <v>1425</v>
      </c>
      <c r="D666" s="176">
        <v>123</v>
      </c>
    </row>
    <row r="667" spans="1:4">
      <c r="A667" s="174" t="s">
        <v>1426</v>
      </c>
      <c r="B667" s="174" t="s">
        <v>1427</v>
      </c>
      <c r="C667" s="80" t="s">
        <v>1428</v>
      </c>
      <c r="D667" s="176">
        <v>129</v>
      </c>
    </row>
    <row r="668" spans="1:4">
      <c r="A668" s="174" t="s">
        <v>1429</v>
      </c>
      <c r="B668" s="174" t="s">
        <v>1430</v>
      </c>
      <c r="C668" s="80" t="s">
        <v>1431</v>
      </c>
      <c r="D668" s="176">
        <v>140</v>
      </c>
    </row>
    <row r="669" spans="1:4">
      <c r="A669" s="174" t="s">
        <v>1432</v>
      </c>
      <c r="B669" s="174" t="s">
        <v>1433</v>
      </c>
      <c r="C669" s="80" t="s">
        <v>1434</v>
      </c>
      <c r="D669" s="176">
        <v>155</v>
      </c>
    </row>
    <row r="670" spans="1:4">
      <c r="A670" s="174" t="s">
        <v>1435</v>
      </c>
      <c r="B670" s="174" t="s">
        <v>1436</v>
      </c>
      <c r="C670" s="80" t="s">
        <v>1437</v>
      </c>
      <c r="D670" s="176">
        <v>64</v>
      </c>
    </row>
    <row r="671" spans="1:4">
      <c r="A671" s="174" t="s">
        <v>1438</v>
      </c>
      <c r="B671" s="174" t="s">
        <v>1439</v>
      </c>
      <c r="C671" s="80" t="s">
        <v>1440</v>
      </c>
      <c r="D671" s="176">
        <v>70</v>
      </c>
    </row>
    <row r="672" spans="1:4">
      <c r="A672" s="174" t="s">
        <v>1441</v>
      </c>
      <c r="B672" s="174" t="s">
        <v>1442</v>
      </c>
      <c r="C672" s="80" t="s">
        <v>1443</v>
      </c>
      <c r="D672" s="176">
        <v>76</v>
      </c>
    </row>
    <row r="673" spans="1:4">
      <c r="A673" s="174" t="s">
        <v>1444</v>
      </c>
      <c r="B673" s="174" t="s">
        <v>1445</v>
      </c>
      <c r="C673" s="80" t="s">
        <v>1446</v>
      </c>
      <c r="D673" s="176">
        <v>83</v>
      </c>
    </row>
    <row r="674" spans="1:4">
      <c r="A674" s="174" t="s">
        <v>1447</v>
      </c>
      <c r="B674" s="174" t="s">
        <v>1448</v>
      </c>
      <c r="C674" s="80" t="s">
        <v>1449</v>
      </c>
      <c r="D674" s="176">
        <v>90</v>
      </c>
    </row>
    <row r="675" spans="1:4">
      <c r="A675" s="174" t="s">
        <v>1450</v>
      </c>
      <c r="B675" s="174" t="s">
        <v>1451</v>
      </c>
      <c r="C675" s="80" t="s">
        <v>1452</v>
      </c>
      <c r="D675" s="176">
        <v>125</v>
      </c>
    </row>
    <row r="676" spans="1:4">
      <c r="A676" s="174" t="s">
        <v>1453</v>
      </c>
      <c r="B676" s="174" t="s">
        <v>1454</v>
      </c>
      <c r="C676" s="80" t="s">
        <v>1455</v>
      </c>
      <c r="D676" s="176">
        <v>136</v>
      </c>
    </row>
    <row r="677" spans="1:4">
      <c r="A677" s="174" t="s">
        <v>1456</v>
      </c>
      <c r="B677" s="174" t="s">
        <v>1457</v>
      </c>
      <c r="C677" s="80" t="s">
        <v>1458</v>
      </c>
      <c r="D677" s="176">
        <v>149</v>
      </c>
    </row>
    <row r="678" spans="1:4">
      <c r="A678" s="174" t="s">
        <v>1459</v>
      </c>
      <c r="B678" s="174" t="s">
        <v>1460</v>
      </c>
      <c r="C678" s="80" t="s">
        <v>1461</v>
      </c>
      <c r="D678" s="176">
        <v>163</v>
      </c>
    </row>
    <row r="679" spans="1:4">
      <c r="A679" s="174" t="s">
        <v>1462</v>
      </c>
      <c r="B679" s="174" t="s">
        <v>1463</v>
      </c>
      <c r="C679" s="80" t="s">
        <v>1437</v>
      </c>
      <c r="D679" s="176">
        <v>69</v>
      </c>
    </row>
    <row r="680" spans="1:4">
      <c r="A680" s="174" t="s">
        <v>1464</v>
      </c>
      <c r="B680" s="174" t="s">
        <v>1465</v>
      </c>
      <c r="C680" s="80" t="s">
        <v>1440</v>
      </c>
      <c r="D680" s="176">
        <v>76</v>
      </c>
    </row>
    <row r="681" spans="1:4">
      <c r="A681" s="174" t="s">
        <v>1466</v>
      </c>
      <c r="B681" s="174" t="s">
        <v>1467</v>
      </c>
      <c r="C681" s="80" t="s">
        <v>1443</v>
      </c>
      <c r="D681" s="176">
        <v>81</v>
      </c>
    </row>
    <row r="682" spans="1:4">
      <c r="A682" s="174" t="s">
        <v>1468</v>
      </c>
      <c r="B682" s="174" t="s">
        <v>1469</v>
      </c>
      <c r="C682" s="80" t="s">
        <v>1446</v>
      </c>
      <c r="D682" s="176">
        <v>89</v>
      </c>
    </row>
    <row r="683" spans="1:4">
      <c r="A683" s="174" t="s">
        <v>1470</v>
      </c>
      <c r="B683" s="174" t="s">
        <v>1471</v>
      </c>
      <c r="C683" s="80" t="s">
        <v>1449</v>
      </c>
      <c r="D683" s="176">
        <v>98</v>
      </c>
    </row>
    <row r="684" spans="1:4">
      <c r="A684" s="174" t="s">
        <v>1472</v>
      </c>
      <c r="B684" s="174" t="s">
        <v>1473</v>
      </c>
      <c r="C684" s="80" t="s">
        <v>1452</v>
      </c>
      <c r="D684" s="176">
        <v>134</v>
      </c>
    </row>
    <row r="685" spans="1:4">
      <c r="A685" s="174" t="s">
        <v>1474</v>
      </c>
      <c r="B685" s="174" t="s">
        <v>1475</v>
      </c>
      <c r="C685" s="80" t="s">
        <v>1455</v>
      </c>
      <c r="D685" s="176">
        <v>142</v>
      </c>
    </row>
    <row r="686" spans="1:4">
      <c r="A686" s="174" t="s">
        <v>1476</v>
      </c>
      <c r="B686" s="174" t="s">
        <v>1477</v>
      </c>
      <c r="C686" s="80" t="s">
        <v>1458</v>
      </c>
      <c r="D686" s="176">
        <v>161</v>
      </c>
    </row>
    <row r="687" spans="1:4">
      <c r="A687" s="179" t="s">
        <v>1478</v>
      </c>
      <c r="B687" s="179" t="s">
        <v>1479</v>
      </c>
      <c r="C687" s="80" t="s">
        <v>1461</v>
      </c>
      <c r="D687" s="176">
        <v>172</v>
      </c>
    </row>
    <row r="688" spans="1:4">
      <c r="A688" s="174" t="s">
        <v>1480</v>
      </c>
      <c r="B688" s="174" t="s">
        <v>1481</v>
      </c>
      <c r="C688" s="80"/>
      <c r="D688" s="176">
        <v>80</v>
      </c>
    </row>
    <row r="689" spans="1:4">
      <c r="A689" s="174" t="s">
        <v>1482</v>
      </c>
      <c r="B689" s="174" t="s">
        <v>1483</v>
      </c>
      <c r="C689" s="80"/>
      <c r="D689" s="176">
        <v>87</v>
      </c>
    </row>
    <row r="690" spans="1:4">
      <c r="A690" s="174" t="s">
        <v>1484</v>
      </c>
      <c r="B690" s="174" t="s">
        <v>1485</v>
      </c>
      <c r="C690" s="80"/>
      <c r="D690" s="176">
        <v>95</v>
      </c>
    </row>
    <row r="691" spans="1:4">
      <c r="A691" s="174" t="s">
        <v>1486</v>
      </c>
      <c r="B691" s="174" t="s">
        <v>1487</v>
      </c>
      <c r="C691" s="80"/>
      <c r="D691" s="176">
        <v>98</v>
      </c>
    </row>
    <row r="692" spans="1:4">
      <c r="A692" s="174" t="s">
        <v>1488</v>
      </c>
      <c r="B692" s="174" t="s">
        <v>1489</v>
      </c>
      <c r="C692" s="80"/>
      <c r="D692" s="176">
        <v>107</v>
      </c>
    </row>
    <row r="693" spans="1:4">
      <c r="A693" s="174" t="s">
        <v>1490</v>
      </c>
      <c r="B693" s="174" t="s">
        <v>1491</v>
      </c>
      <c r="C693" s="80"/>
      <c r="D693" s="176">
        <v>148</v>
      </c>
    </row>
    <row r="694" spans="1:4">
      <c r="A694" s="174" t="s">
        <v>1492</v>
      </c>
      <c r="B694" s="174" t="s">
        <v>1493</v>
      </c>
      <c r="C694" s="80"/>
      <c r="D694" s="176">
        <v>157</v>
      </c>
    </row>
    <row r="695" spans="1:4">
      <c r="A695" s="174" t="s">
        <v>1494</v>
      </c>
      <c r="B695" s="174" t="s">
        <v>1495</v>
      </c>
      <c r="C695" s="80"/>
      <c r="D695" s="176">
        <v>176</v>
      </c>
    </row>
    <row r="696" spans="1:4">
      <c r="A696" s="174" t="s">
        <v>1496</v>
      </c>
      <c r="B696" s="174" t="s">
        <v>1497</v>
      </c>
      <c r="C696" s="80"/>
      <c r="D696" s="176">
        <v>192</v>
      </c>
    </row>
    <row r="697" spans="1:4">
      <c r="A697" s="174" t="s">
        <v>1498</v>
      </c>
      <c r="B697" s="174" t="s">
        <v>1499</v>
      </c>
      <c r="C697" s="80"/>
      <c r="D697" s="176">
        <v>81</v>
      </c>
    </row>
    <row r="698" spans="1:4">
      <c r="A698" s="174" t="s">
        <v>1500</v>
      </c>
      <c r="B698" s="174" t="s">
        <v>1501</v>
      </c>
      <c r="C698" s="80"/>
      <c r="D698" s="176">
        <v>87</v>
      </c>
    </row>
    <row r="699" spans="1:4">
      <c r="A699" s="174" t="s">
        <v>1502</v>
      </c>
      <c r="B699" s="174" t="s">
        <v>1503</v>
      </c>
      <c r="C699" s="80"/>
      <c r="D699" s="176">
        <v>98</v>
      </c>
    </row>
    <row r="700" spans="1:4">
      <c r="A700" s="174" t="s">
        <v>1504</v>
      </c>
      <c r="B700" s="174" t="s">
        <v>1505</v>
      </c>
      <c r="C700" s="80"/>
      <c r="D700" s="176">
        <v>100</v>
      </c>
    </row>
    <row r="701" spans="1:4">
      <c r="A701" s="174" t="s">
        <v>1506</v>
      </c>
      <c r="B701" s="174" t="s">
        <v>1507</v>
      </c>
      <c r="C701" s="80"/>
      <c r="D701" s="176">
        <v>112</v>
      </c>
    </row>
    <row r="702" spans="1:4">
      <c r="A702" s="174" t="s">
        <v>1508</v>
      </c>
      <c r="B702" s="174" t="s">
        <v>1509</v>
      </c>
      <c r="C702" s="80"/>
      <c r="D702" s="176">
        <v>153</v>
      </c>
    </row>
    <row r="703" spans="1:4">
      <c r="A703" s="174" t="s">
        <v>1510</v>
      </c>
      <c r="B703" s="174" t="s">
        <v>1511</v>
      </c>
      <c r="C703" s="80"/>
      <c r="D703" s="176">
        <v>161</v>
      </c>
    </row>
    <row r="704" spans="1:4">
      <c r="A704" s="174" t="s">
        <v>1512</v>
      </c>
      <c r="B704" s="174" t="s">
        <v>1513</v>
      </c>
      <c r="C704" s="80"/>
      <c r="D704" s="176">
        <v>179</v>
      </c>
    </row>
    <row r="705" spans="1:4">
      <c r="A705" s="174" t="s">
        <v>1514</v>
      </c>
      <c r="B705" s="174" t="s">
        <v>1515</v>
      </c>
      <c r="C705" s="80"/>
      <c r="D705" s="176">
        <v>194</v>
      </c>
    </row>
    <row r="706" spans="1:4">
      <c r="A706" s="178" t="s">
        <v>1516</v>
      </c>
      <c r="B706" s="178" t="s">
        <v>1517</v>
      </c>
      <c r="C706" s="177" t="s">
        <v>1518</v>
      </c>
      <c r="D706" s="176">
        <v>153</v>
      </c>
    </row>
    <row r="707" spans="1:4">
      <c r="A707" s="178" t="s">
        <v>1519</v>
      </c>
      <c r="B707" s="178" t="s">
        <v>1520</v>
      </c>
      <c r="C707" s="177" t="s">
        <v>1521</v>
      </c>
      <c r="D707" s="176">
        <v>164</v>
      </c>
    </row>
    <row r="708" spans="1:4">
      <c r="A708" s="178" t="s">
        <v>1522</v>
      </c>
      <c r="B708" s="178" t="s">
        <v>1523</v>
      </c>
      <c r="C708" s="177" t="s">
        <v>1524</v>
      </c>
      <c r="D708" s="176">
        <v>170</v>
      </c>
    </row>
    <row r="709" spans="1:4">
      <c r="A709" s="178" t="s">
        <v>1525</v>
      </c>
      <c r="B709" s="178" t="s">
        <v>1526</v>
      </c>
      <c r="C709" s="177" t="s">
        <v>1527</v>
      </c>
      <c r="D709" s="176">
        <v>183</v>
      </c>
    </row>
    <row r="710" spans="1:4">
      <c r="A710" s="178" t="s">
        <v>1528</v>
      </c>
      <c r="B710" s="178" t="s">
        <v>1529</v>
      </c>
      <c r="C710" s="177" t="s">
        <v>1530</v>
      </c>
      <c r="D710" s="176">
        <v>229</v>
      </c>
    </row>
    <row r="711" spans="1:4">
      <c r="A711" s="178" t="s">
        <v>1531</v>
      </c>
      <c r="B711" s="178" t="s">
        <v>1532</v>
      </c>
      <c r="C711" s="177" t="s">
        <v>1533</v>
      </c>
      <c r="D711" s="176">
        <v>250</v>
      </c>
    </row>
    <row r="712" spans="1:4">
      <c r="A712" s="178" t="s">
        <v>1534</v>
      </c>
      <c r="B712" s="178" t="s">
        <v>1535</v>
      </c>
      <c r="C712" s="177" t="s">
        <v>1536</v>
      </c>
      <c r="D712" s="176">
        <v>268</v>
      </c>
    </row>
    <row r="713" spans="1:4">
      <c r="A713" s="178" t="s">
        <v>1537</v>
      </c>
      <c r="B713" s="178" t="s">
        <v>1538</v>
      </c>
      <c r="C713" s="80"/>
      <c r="D713" s="176">
        <v>190</v>
      </c>
    </row>
    <row r="714" spans="1:4">
      <c r="A714" s="178" t="s">
        <v>1539</v>
      </c>
      <c r="B714" s="178" t="s">
        <v>1540</v>
      </c>
      <c r="C714" s="80"/>
      <c r="D714" s="176">
        <v>203</v>
      </c>
    </row>
    <row r="715" spans="1:4">
      <c r="A715" s="178" t="s">
        <v>1541</v>
      </c>
      <c r="B715" s="178" t="s">
        <v>1542</v>
      </c>
      <c r="C715" s="80"/>
      <c r="D715" s="176">
        <v>206</v>
      </c>
    </row>
    <row r="716" spans="1:4">
      <c r="A716" s="178" t="s">
        <v>1543</v>
      </c>
      <c r="B716" s="178" t="s">
        <v>1544</v>
      </c>
      <c r="C716" s="80"/>
      <c r="D716" s="176">
        <v>220</v>
      </c>
    </row>
    <row r="717" spans="1:4">
      <c r="A717" s="178" t="s">
        <v>1545</v>
      </c>
      <c r="B717" s="178" t="s">
        <v>1546</v>
      </c>
      <c r="C717" s="80"/>
      <c r="D717" s="176">
        <v>303</v>
      </c>
    </row>
    <row r="718" spans="1:4">
      <c r="A718" s="178" t="s">
        <v>1547</v>
      </c>
      <c r="B718" s="178" t="s">
        <v>1548</v>
      </c>
      <c r="C718" s="80"/>
      <c r="D718" s="176">
        <v>306</v>
      </c>
    </row>
    <row r="719" spans="1:4">
      <c r="A719" s="178" t="s">
        <v>1549</v>
      </c>
      <c r="B719" s="178" t="s">
        <v>1550</v>
      </c>
      <c r="C719" s="80"/>
      <c r="D719" s="176">
        <v>323</v>
      </c>
    </row>
    <row r="720" spans="1:4">
      <c r="A720" s="174" t="s">
        <v>1551</v>
      </c>
      <c r="B720" s="174" t="s">
        <v>1552</v>
      </c>
      <c r="C720" s="177" t="s">
        <v>1553</v>
      </c>
      <c r="D720" s="176">
        <v>68</v>
      </c>
    </row>
    <row r="721" spans="1:4">
      <c r="A721" s="174" t="s">
        <v>1554</v>
      </c>
      <c r="B721" s="174" t="s">
        <v>1555</v>
      </c>
      <c r="C721" s="177" t="s">
        <v>1556</v>
      </c>
      <c r="D721" s="176">
        <v>78</v>
      </c>
    </row>
    <row r="722" spans="1:4">
      <c r="A722" s="174" t="s">
        <v>1557</v>
      </c>
      <c r="B722" s="174" t="s">
        <v>1558</v>
      </c>
      <c r="C722" s="177" t="s">
        <v>1559</v>
      </c>
      <c r="D722" s="176">
        <v>84</v>
      </c>
    </row>
    <row r="723" spans="1:4">
      <c r="A723" s="174" t="s">
        <v>1560</v>
      </c>
      <c r="B723" s="174" t="s">
        <v>1561</v>
      </c>
      <c r="C723" s="177" t="s">
        <v>1562</v>
      </c>
      <c r="D723" s="176">
        <v>87</v>
      </c>
    </row>
    <row r="724" spans="1:4">
      <c r="A724" s="174" t="s">
        <v>1563</v>
      </c>
      <c r="B724" s="174" t="s">
        <v>1564</v>
      </c>
      <c r="C724" s="177" t="s">
        <v>1565</v>
      </c>
      <c r="D724" s="176">
        <v>96</v>
      </c>
    </row>
    <row r="725" spans="1:4">
      <c r="A725" s="174" t="s">
        <v>1566</v>
      </c>
      <c r="B725" s="174" t="s">
        <v>1567</v>
      </c>
      <c r="C725" s="177" t="s">
        <v>1568</v>
      </c>
      <c r="D725" s="176">
        <v>132</v>
      </c>
    </row>
    <row r="726" spans="1:4">
      <c r="A726" s="174" t="s">
        <v>1569</v>
      </c>
      <c r="B726" s="174" t="s">
        <v>1570</v>
      </c>
      <c r="C726" s="177" t="s">
        <v>1571</v>
      </c>
      <c r="D726" s="176">
        <v>139</v>
      </c>
    </row>
    <row r="727" spans="1:4">
      <c r="A727" s="174" t="s">
        <v>1572</v>
      </c>
      <c r="B727" s="174" t="s">
        <v>1573</v>
      </c>
      <c r="C727" s="177" t="s">
        <v>1574</v>
      </c>
      <c r="D727" s="176">
        <v>160</v>
      </c>
    </row>
    <row r="728" spans="1:4">
      <c r="A728" s="174" t="s">
        <v>1575</v>
      </c>
      <c r="B728" s="174" t="s">
        <v>1576</v>
      </c>
      <c r="C728" s="177" t="s">
        <v>1577</v>
      </c>
      <c r="D728" s="176">
        <v>171</v>
      </c>
    </row>
    <row r="729" spans="1:4">
      <c r="A729" s="174" t="s">
        <v>1578</v>
      </c>
      <c r="B729" s="174" t="s">
        <v>1579</v>
      </c>
      <c r="C729" s="177" t="s">
        <v>1553</v>
      </c>
      <c r="D729" s="176">
        <v>75</v>
      </c>
    </row>
    <row r="730" spans="1:4">
      <c r="A730" s="174" t="s">
        <v>1580</v>
      </c>
      <c r="B730" s="174" t="s">
        <v>1581</v>
      </c>
      <c r="C730" s="177" t="s">
        <v>1556</v>
      </c>
      <c r="D730" s="176">
        <v>83</v>
      </c>
    </row>
    <row r="731" spans="1:4">
      <c r="A731" s="174" t="s">
        <v>1582</v>
      </c>
      <c r="B731" s="174" t="s">
        <v>1583</v>
      </c>
      <c r="C731" s="177" t="s">
        <v>1559</v>
      </c>
      <c r="D731" s="176">
        <v>89</v>
      </c>
    </row>
    <row r="732" spans="1:4">
      <c r="A732" s="174" t="s">
        <v>1584</v>
      </c>
      <c r="B732" s="174" t="s">
        <v>1585</v>
      </c>
      <c r="C732" s="177" t="s">
        <v>1562</v>
      </c>
      <c r="D732" s="176">
        <v>94</v>
      </c>
    </row>
    <row r="733" spans="1:4">
      <c r="A733" s="174" t="s">
        <v>1586</v>
      </c>
      <c r="B733" s="174" t="s">
        <v>1587</v>
      </c>
      <c r="C733" s="177" t="s">
        <v>1565</v>
      </c>
      <c r="D733" s="176">
        <v>104</v>
      </c>
    </row>
    <row r="734" spans="1:4">
      <c r="A734" s="174" t="s">
        <v>1588</v>
      </c>
      <c r="B734" s="174" t="s">
        <v>1589</v>
      </c>
      <c r="C734" s="177" t="s">
        <v>1568</v>
      </c>
      <c r="D734" s="176">
        <v>143</v>
      </c>
    </row>
    <row r="735" spans="1:4">
      <c r="A735" s="174" t="s">
        <v>1590</v>
      </c>
      <c r="B735" s="174" t="s">
        <v>1591</v>
      </c>
      <c r="C735" s="177" t="s">
        <v>1571</v>
      </c>
      <c r="D735" s="176">
        <v>153</v>
      </c>
    </row>
    <row r="736" spans="1:4">
      <c r="A736" s="174" t="s">
        <v>1592</v>
      </c>
      <c r="B736" s="174" t="s">
        <v>1593</v>
      </c>
      <c r="C736" s="177" t="s">
        <v>1574</v>
      </c>
      <c r="D736" s="176">
        <v>170</v>
      </c>
    </row>
    <row r="737" spans="1:4">
      <c r="A737" s="174" t="s">
        <v>1594</v>
      </c>
      <c r="B737" s="174" t="s">
        <v>1595</v>
      </c>
      <c r="C737" s="177" t="s">
        <v>1577</v>
      </c>
      <c r="D737" s="176">
        <v>179</v>
      </c>
    </row>
    <row r="738" spans="1:4">
      <c r="A738" s="174" t="s">
        <v>1596</v>
      </c>
      <c r="B738" s="174" t="s">
        <v>1597</v>
      </c>
      <c r="C738" s="177" t="s">
        <v>1598</v>
      </c>
      <c r="D738" s="176">
        <v>74</v>
      </c>
    </row>
    <row r="739" spans="1:4">
      <c r="A739" s="174" t="s">
        <v>1599</v>
      </c>
      <c r="B739" s="174" t="s">
        <v>1600</v>
      </c>
      <c r="C739" s="177" t="s">
        <v>1601</v>
      </c>
      <c r="D739" s="176">
        <v>81</v>
      </c>
    </row>
    <row r="740" spans="1:4">
      <c r="A740" s="174" t="s">
        <v>1602</v>
      </c>
      <c r="B740" s="174" t="s">
        <v>1603</v>
      </c>
      <c r="C740" s="177" t="s">
        <v>1604</v>
      </c>
      <c r="D740" s="176">
        <v>93</v>
      </c>
    </row>
    <row r="741" spans="1:4">
      <c r="A741" s="174" t="s">
        <v>1605</v>
      </c>
      <c r="B741" s="174" t="s">
        <v>1606</v>
      </c>
      <c r="C741" s="177" t="s">
        <v>1607</v>
      </c>
      <c r="D741" s="176">
        <v>96</v>
      </c>
    </row>
    <row r="742" spans="1:4">
      <c r="A742" s="174" t="s">
        <v>1608</v>
      </c>
      <c r="B742" s="174" t="s">
        <v>1609</v>
      </c>
      <c r="C742" s="177" t="s">
        <v>1610</v>
      </c>
      <c r="D742" s="176">
        <v>112</v>
      </c>
    </row>
    <row r="743" spans="1:4">
      <c r="A743" s="174" t="s">
        <v>1611</v>
      </c>
      <c r="B743" s="174" t="s">
        <v>1612</v>
      </c>
      <c r="C743" s="177" t="s">
        <v>1613</v>
      </c>
      <c r="D743" s="176">
        <v>142</v>
      </c>
    </row>
    <row r="744" spans="1:4">
      <c r="A744" s="174" t="s">
        <v>1614</v>
      </c>
      <c r="B744" s="174" t="s">
        <v>1615</v>
      </c>
      <c r="C744" s="177" t="s">
        <v>1616</v>
      </c>
      <c r="D744" s="176">
        <v>150</v>
      </c>
    </row>
    <row r="745" spans="1:4">
      <c r="A745" s="174" t="s">
        <v>1617</v>
      </c>
      <c r="B745" s="174" t="s">
        <v>1618</v>
      </c>
      <c r="C745" s="177" t="s">
        <v>1619</v>
      </c>
      <c r="D745" s="176">
        <v>163</v>
      </c>
    </row>
    <row r="746" spans="1:4">
      <c r="A746" s="174" t="s">
        <v>1620</v>
      </c>
      <c r="B746" s="174" t="s">
        <v>1621</v>
      </c>
      <c r="C746" s="177" t="s">
        <v>1622</v>
      </c>
      <c r="D746" s="176">
        <v>170</v>
      </c>
    </row>
    <row r="747" spans="1:4">
      <c r="A747" s="174" t="s">
        <v>1623</v>
      </c>
      <c r="B747" s="174" t="s">
        <v>1624</v>
      </c>
      <c r="C747" s="80"/>
      <c r="D747" s="176">
        <v>76</v>
      </c>
    </row>
    <row r="748" spans="1:4">
      <c r="A748" s="174" t="s">
        <v>1625</v>
      </c>
      <c r="B748" s="174" t="s">
        <v>1626</v>
      </c>
      <c r="C748" s="80"/>
      <c r="D748" s="176">
        <v>84</v>
      </c>
    </row>
    <row r="749" spans="1:4">
      <c r="A749" s="174" t="s">
        <v>1627</v>
      </c>
      <c r="B749" s="174" t="s">
        <v>1628</v>
      </c>
      <c r="C749" s="80"/>
      <c r="D749" s="176">
        <v>95</v>
      </c>
    </row>
    <row r="750" spans="1:4">
      <c r="A750" s="174" t="s">
        <v>1629</v>
      </c>
      <c r="B750" s="174" t="s">
        <v>1630</v>
      </c>
      <c r="C750" s="80"/>
      <c r="D750" s="176">
        <v>100</v>
      </c>
    </row>
    <row r="751" spans="1:4">
      <c r="A751" s="174" t="s">
        <v>1631</v>
      </c>
      <c r="B751" s="174" t="s">
        <v>1632</v>
      </c>
      <c r="C751" s="80"/>
      <c r="D751" s="176">
        <v>113</v>
      </c>
    </row>
    <row r="752" spans="1:4">
      <c r="A752" s="174" t="s">
        <v>1633</v>
      </c>
      <c r="B752" s="174" t="s">
        <v>1634</v>
      </c>
      <c r="C752" s="80"/>
      <c r="D752" s="176">
        <v>143</v>
      </c>
    </row>
    <row r="753" spans="1:4">
      <c r="A753" s="174" t="s">
        <v>1635</v>
      </c>
      <c r="B753" s="174" t="s">
        <v>1636</v>
      </c>
      <c r="C753" s="80"/>
      <c r="D753" s="176">
        <v>156</v>
      </c>
    </row>
    <row r="754" spans="1:4">
      <c r="A754" s="174" t="s">
        <v>1637</v>
      </c>
      <c r="B754" s="174" t="s">
        <v>1638</v>
      </c>
      <c r="C754" s="80"/>
      <c r="D754" s="176">
        <v>164</v>
      </c>
    </row>
    <row r="755" spans="1:4">
      <c r="A755" s="174" t="s">
        <v>1639</v>
      </c>
      <c r="B755" s="174" t="s">
        <v>1640</v>
      </c>
      <c r="C755" s="80"/>
      <c r="D755" s="176">
        <v>170</v>
      </c>
    </row>
    <row r="756" spans="1:4">
      <c r="A756" s="147"/>
      <c r="B756" s="147"/>
      <c r="C756" s="147"/>
      <c r="D756" s="147"/>
    </row>
    <row r="757" spans="1:4">
      <c r="A757" s="147"/>
      <c r="B757" s="147"/>
      <c r="C757" s="147"/>
      <c r="D757" s="147"/>
    </row>
    <row r="758" spans="1:4">
      <c r="A758" s="147"/>
      <c r="B758" s="147" t="s">
        <v>1641</v>
      </c>
      <c r="C758" s="147"/>
      <c r="D758" s="147"/>
    </row>
    <row r="759" spans="1:4">
      <c r="A759" s="147"/>
      <c r="B759" s="147"/>
      <c r="C759" s="147"/>
      <c r="D759" s="147"/>
    </row>
    <row r="760" spans="1:4">
      <c r="A760" s="147"/>
      <c r="B760" s="147"/>
      <c r="C760" s="147"/>
      <c r="D760" s="147"/>
    </row>
    <row r="761" spans="1:4">
      <c r="A761" s="147"/>
      <c r="B761" s="147"/>
      <c r="C761" s="147"/>
      <c r="D761" s="147"/>
    </row>
    <row r="762" spans="1:4">
      <c r="A762" s="180" t="s">
        <v>1642</v>
      </c>
      <c r="B762" s="180" t="s">
        <v>1643</v>
      </c>
      <c r="C762" s="181" t="s">
        <v>1644</v>
      </c>
      <c r="D762" s="176">
        <v>132</v>
      </c>
    </row>
    <row r="763" spans="1:4">
      <c r="A763" s="180" t="s">
        <v>1645</v>
      </c>
      <c r="B763" s="180" t="s">
        <v>1646</v>
      </c>
      <c r="C763" s="181" t="s">
        <v>1647</v>
      </c>
      <c r="D763" s="176">
        <v>144</v>
      </c>
    </row>
    <row r="764" spans="1:4">
      <c r="A764" s="180" t="s">
        <v>1648</v>
      </c>
      <c r="B764" s="180" t="s">
        <v>1649</v>
      </c>
      <c r="C764" s="181" t="s">
        <v>1647</v>
      </c>
      <c r="D764" s="176">
        <v>144</v>
      </c>
    </row>
    <row r="765" spans="1:4">
      <c r="A765" s="180" t="s">
        <v>1650</v>
      </c>
      <c r="B765" s="180" t="s">
        <v>1651</v>
      </c>
      <c r="C765" s="181" t="s">
        <v>1652</v>
      </c>
      <c r="D765" s="176">
        <v>157</v>
      </c>
    </row>
    <row r="766" spans="1:4">
      <c r="A766" s="180" t="s">
        <v>1653</v>
      </c>
      <c r="B766" s="180" t="s">
        <v>1654</v>
      </c>
      <c r="C766" s="181" t="s">
        <v>558</v>
      </c>
      <c r="D766" s="176">
        <v>33</v>
      </c>
    </row>
    <row r="767" spans="1:4">
      <c r="A767" s="180" t="s">
        <v>1655</v>
      </c>
      <c r="B767" s="180" t="s">
        <v>1655</v>
      </c>
      <c r="C767" s="181"/>
      <c r="D767" s="176">
        <v>3</v>
      </c>
    </row>
    <row r="768" spans="1:4">
      <c r="A768" s="180" t="s">
        <v>1656</v>
      </c>
      <c r="B768" s="180" t="s">
        <v>1657</v>
      </c>
      <c r="C768" s="181" t="s">
        <v>1658</v>
      </c>
      <c r="D768" s="176">
        <v>163</v>
      </c>
    </row>
    <row r="769" spans="1:4">
      <c r="A769" s="180" t="s">
        <v>1659</v>
      </c>
      <c r="B769" s="180" t="s">
        <v>1660</v>
      </c>
      <c r="C769" s="181" t="s">
        <v>1661</v>
      </c>
      <c r="D769" s="176">
        <v>168</v>
      </c>
    </row>
    <row r="770" spans="1:4">
      <c r="A770" s="180" t="s">
        <v>1662</v>
      </c>
      <c r="B770" s="180" t="s">
        <v>1663</v>
      </c>
      <c r="C770" s="181" t="s">
        <v>1664</v>
      </c>
      <c r="D770" s="176">
        <v>202</v>
      </c>
    </row>
    <row r="771" spans="1:4">
      <c r="A771" s="180" t="s">
        <v>1665</v>
      </c>
      <c r="B771" s="180" t="s">
        <v>1666</v>
      </c>
      <c r="C771" s="181" t="s">
        <v>1667</v>
      </c>
      <c r="D771" s="176">
        <v>209</v>
      </c>
    </row>
    <row r="772" spans="1:4">
      <c r="A772" s="180" t="s">
        <v>1668</v>
      </c>
      <c r="B772" s="180" t="s">
        <v>1669</v>
      </c>
      <c r="C772" s="181" t="s">
        <v>1670</v>
      </c>
      <c r="D772" s="176">
        <v>216</v>
      </c>
    </row>
    <row r="773" spans="1:4">
      <c r="A773" s="180" t="s">
        <v>1671</v>
      </c>
      <c r="B773" s="180" t="s">
        <v>1672</v>
      </c>
      <c r="C773" s="181" t="s">
        <v>1670</v>
      </c>
      <c r="D773" s="176">
        <v>216</v>
      </c>
    </row>
    <row r="774" spans="1:4">
      <c r="A774" s="180" t="s">
        <v>1673</v>
      </c>
      <c r="B774" s="180" t="s">
        <v>1674</v>
      </c>
      <c r="C774" s="181" t="s">
        <v>1675</v>
      </c>
      <c r="D774" s="176">
        <v>40</v>
      </c>
    </row>
    <row r="775" spans="1:4">
      <c r="A775" s="182" t="s">
        <v>1676</v>
      </c>
      <c r="B775" s="182" t="s">
        <v>1677</v>
      </c>
      <c r="C775" s="181" t="s">
        <v>1678</v>
      </c>
      <c r="D775" s="176">
        <v>137</v>
      </c>
    </row>
    <row r="776" spans="1:4">
      <c r="A776" s="182" t="s">
        <v>1679</v>
      </c>
      <c r="B776" s="182" t="s">
        <v>1680</v>
      </c>
      <c r="C776" s="181" t="s">
        <v>1678</v>
      </c>
      <c r="D776" s="176">
        <v>142</v>
      </c>
    </row>
    <row r="777" spans="1:4">
      <c r="A777" s="183" t="s">
        <v>1681</v>
      </c>
      <c r="B777" s="183" t="s">
        <v>1681</v>
      </c>
      <c r="C777" s="181" t="s">
        <v>1682</v>
      </c>
      <c r="D777" s="184">
        <v>208</v>
      </c>
    </row>
    <row r="778" spans="1:4">
      <c r="A778" s="180" t="s">
        <v>1683</v>
      </c>
      <c r="B778" s="180" t="s">
        <v>1684</v>
      </c>
      <c r="C778" s="181" t="s">
        <v>1685</v>
      </c>
      <c r="D778" s="176">
        <v>152</v>
      </c>
    </row>
    <row r="779" spans="1:4">
      <c r="A779" s="180" t="s">
        <v>1686</v>
      </c>
      <c r="B779" s="180" t="s">
        <v>1687</v>
      </c>
      <c r="C779" s="181" t="s">
        <v>1688</v>
      </c>
      <c r="D779" s="176">
        <v>163</v>
      </c>
    </row>
    <row r="780" spans="1:4">
      <c r="A780" s="180" t="s">
        <v>1689</v>
      </c>
      <c r="B780" s="180" t="s">
        <v>1690</v>
      </c>
      <c r="C780" s="181" t="s">
        <v>1688</v>
      </c>
      <c r="D780" s="176">
        <v>163</v>
      </c>
    </row>
    <row r="781" spans="1:4">
      <c r="A781" s="180" t="s">
        <v>1691</v>
      </c>
      <c r="B781" s="180" t="s">
        <v>1692</v>
      </c>
      <c r="C781" s="181" t="s">
        <v>1693</v>
      </c>
      <c r="D781" s="176">
        <v>176</v>
      </c>
    </row>
    <row r="782" spans="1:4">
      <c r="A782" s="180" t="s">
        <v>1654</v>
      </c>
      <c r="B782" s="180" t="s">
        <v>1654</v>
      </c>
      <c r="C782" s="181">
        <v>12112900000382</v>
      </c>
      <c r="D782" s="176">
        <v>33</v>
      </c>
    </row>
    <row r="783" spans="1:4">
      <c r="A783" s="174" t="s">
        <v>1694</v>
      </c>
      <c r="B783" s="174" t="s">
        <v>1695</v>
      </c>
      <c r="C783" s="181" t="s">
        <v>1696</v>
      </c>
      <c r="D783" s="176">
        <v>198</v>
      </c>
    </row>
    <row r="784" spans="1:4">
      <c r="A784" s="174" t="s">
        <v>1697</v>
      </c>
      <c r="B784" s="174" t="s">
        <v>1698</v>
      </c>
      <c r="C784" s="181" t="s">
        <v>1699</v>
      </c>
      <c r="D784" s="176">
        <v>226</v>
      </c>
    </row>
    <row r="785" spans="1:4">
      <c r="A785" s="174" t="s">
        <v>1700</v>
      </c>
      <c r="B785" s="174" t="s">
        <v>1701</v>
      </c>
      <c r="C785" s="181" t="s">
        <v>1702</v>
      </c>
      <c r="D785" s="176">
        <v>242</v>
      </c>
    </row>
    <row r="786" spans="1:4">
      <c r="A786" s="174" t="s">
        <v>1703</v>
      </c>
      <c r="B786" s="174" t="s">
        <v>1704</v>
      </c>
      <c r="C786" s="181" t="s">
        <v>1705</v>
      </c>
      <c r="D786" s="176">
        <v>252</v>
      </c>
    </row>
    <row r="787" spans="1:4">
      <c r="A787" s="174" t="s">
        <v>1706</v>
      </c>
      <c r="B787" s="174" t="s">
        <v>1707</v>
      </c>
      <c r="C787" s="181" t="s">
        <v>1708</v>
      </c>
      <c r="D787" s="176">
        <v>271</v>
      </c>
    </row>
    <row r="788" spans="1:4">
      <c r="A788" s="174" t="s">
        <v>1709</v>
      </c>
      <c r="B788" s="174" t="s">
        <v>1710</v>
      </c>
      <c r="C788" s="181" t="s">
        <v>1711</v>
      </c>
      <c r="D788" s="176">
        <v>284</v>
      </c>
    </row>
    <row r="789" spans="1:4">
      <c r="A789" s="174" t="s">
        <v>1674</v>
      </c>
      <c r="B789" s="174" t="s">
        <v>1674</v>
      </c>
      <c r="C789" s="181"/>
      <c r="D789" s="176">
        <v>40</v>
      </c>
    </row>
    <row r="790" spans="1:4">
      <c r="A790" s="185" t="s">
        <v>1654</v>
      </c>
      <c r="B790" s="185" t="s">
        <v>1654</v>
      </c>
      <c r="C790" s="181"/>
      <c r="D790" s="176">
        <v>20</v>
      </c>
    </row>
    <row r="791" spans="1:4">
      <c r="A791" s="174" t="s">
        <v>1674</v>
      </c>
      <c r="B791" s="174" t="s">
        <v>1674</v>
      </c>
      <c r="C791" s="181"/>
      <c r="D791" s="176">
        <v>40</v>
      </c>
    </row>
    <row r="792" spans="1:4">
      <c r="A792" s="174" t="s">
        <v>922</v>
      </c>
      <c r="B792" s="174" t="s">
        <v>922</v>
      </c>
      <c r="C792" s="181" t="s">
        <v>924</v>
      </c>
      <c r="D792" s="176">
        <v>30</v>
      </c>
    </row>
    <row r="793" spans="1:4">
      <c r="A793" s="174" t="s">
        <v>1712</v>
      </c>
      <c r="B793" s="174" t="s">
        <v>1712</v>
      </c>
      <c r="C793" s="181"/>
      <c r="D793" s="176">
        <v>60</v>
      </c>
    </row>
    <row r="794" spans="1:4">
      <c r="A794" s="147"/>
      <c r="B794" s="147"/>
      <c r="C794" s="147"/>
      <c r="D794" s="147"/>
    </row>
    <row r="795" spans="1:4">
      <c r="A795" s="147"/>
      <c r="B795" s="147" t="s">
        <v>1713</v>
      </c>
      <c r="C795" s="147"/>
      <c r="D795" s="147"/>
    </row>
    <row r="796" spans="1:4">
      <c r="A796" s="147"/>
      <c r="B796" s="147"/>
      <c r="C796" s="147"/>
      <c r="D796" s="147"/>
    </row>
    <row r="797" spans="1:4">
      <c r="A797" s="147"/>
      <c r="B797" s="147"/>
      <c r="C797" s="147"/>
      <c r="D797" s="147"/>
    </row>
    <row r="798" spans="1:4">
      <c r="A798" s="186" t="s">
        <v>1714</v>
      </c>
      <c r="B798" s="186" t="s">
        <v>1715</v>
      </c>
      <c r="C798" s="187"/>
      <c r="D798" s="188">
        <v>98</v>
      </c>
    </row>
    <row r="799" spans="1:4">
      <c r="A799" s="186" t="s">
        <v>1716</v>
      </c>
      <c r="B799" s="186" t="s">
        <v>1717</v>
      </c>
      <c r="C799" s="187"/>
      <c r="D799" s="188">
        <v>105</v>
      </c>
    </row>
    <row r="800" spans="1:4">
      <c r="A800" s="186" t="s">
        <v>1718</v>
      </c>
      <c r="B800" s="186" t="s">
        <v>1719</v>
      </c>
      <c r="C800" s="187"/>
      <c r="D800" s="188">
        <v>113</v>
      </c>
    </row>
    <row r="801" spans="1:4">
      <c r="A801" s="186" t="s">
        <v>1720</v>
      </c>
      <c r="B801" s="186" t="s">
        <v>1721</v>
      </c>
      <c r="C801" s="187"/>
      <c r="D801" s="188">
        <v>123</v>
      </c>
    </row>
    <row r="802" spans="1:4">
      <c r="A802" s="186" t="s">
        <v>1722</v>
      </c>
      <c r="B802" s="186" t="s">
        <v>1723</v>
      </c>
      <c r="C802" s="187"/>
      <c r="D802" s="188">
        <v>129</v>
      </c>
    </row>
    <row r="803" spans="1:4">
      <c r="A803" s="186" t="s">
        <v>1724</v>
      </c>
      <c r="B803" s="186" t="s">
        <v>1725</v>
      </c>
      <c r="C803" s="187"/>
      <c r="D803" s="188">
        <v>137</v>
      </c>
    </row>
    <row r="804" spans="1:4">
      <c r="A804" s="186" t="s">
        <v>1726</v>
      </c>
      <c r="B804" s="186" t="s">
        <v>1727</v>
      </c>
      <c r="C804" s="187"/>
      <c r="D804" s="188">
        <v>146</v>
      </c>
    </row>
    <row r="805" spans="1:4">
      <c r="A805" s="186" t="s">
        <v>1728</v>
      </c>
      <c r="B805" s="186" t="s">
        <v>1729</v>
      </c>
      <c r="C805" s="187"/>
      <c r="D805" s="188">
        <v>158</v>
      </c>
    </row>
    <row r="806" spans="1:4">
      <c r="A806" s="186" t="s">
        <v>1730</v>
      </c>
      <c r="B806" s="186" t="s">
        <v>1731</v>
      </c>
      <c r="C806" s="187"/>
      <c r="D806" s="188">
        <v>167</v>
      </c>
    </row>
    <row r="807" spans="1:4">
      <c r="A807" s="186" t="s">
        <v>1732</v>
      </c>
      <c r="B807" s="186" t="s">
        <v>1733</v>
      </c>
      <c r="C807" s="187"/>
      <c r="D807" s="188">
        <v>100</v>
      </c>
    </row>
    <row r="808" spans="1:4">
      <c r="A808" s="186" t="s">
        <v>1734</v>
      </c>
      <c r="B808" s="186" t="s">
        <v>1735</v>
      </c>
      <c r="C808" s="187"/>
      <c r="D808" s="188">
        <v>110</v>
      </c>
    </row>
    <row r="809" spans="1:4">
      <c r="A809" s="186" t="s">
        <v>1736</v>
      </c>
      <c r="B809" s="186" t="s">
        <v>1737</v>
      </c>
      <c r="C809" s="187"/>
      <c r="D809" s="188">
        <v>116</v>
      </c>
    </row>
    <row r="810" spans="1:4">
      <c r="A810" s="186" t="s">
        <v>1738</v>
      </c>
      <c r="B810" s="186" t="s">
        <v>1739</v>
      </c>
      <c r="C810" s="187"/>
      <c r="D810" s="188">
        <v>126</v>
      </c>
    </row>
    <row r="811" spans="1:4">
      <c r="A811" s="186" t="s">
        <v>1740</v>
      </c>
      <c r="B811" s="186" t="s">
        <v>1741</v>
      </c>
      <c r="C811" s="187"/>
      <c r="D811" s="188">
        <v>132</v>
      </c>
    </row>
    <row r="812" spans="1:4">
      <c r="A812" s="186" t="s">
        <v>1742</v>
      </c>
      <c r="B812" s="186" t="s">
        <v>1743</v>
      </c>
      <c r="C812" s="187"/>
      <c r="D812" s="188">
        <v>140</v>
      </c>
    </row>
    <row r="813" spans="1:4">
      <c r="A813" s="186" t="s">
        <v>1744</v>
      </c>
      <c r="B813" s="186" t="s">
        <v>1745</v>
      </c>
      <c r="C813" s="187"/>
      <c r="D813" s="188">
        <v>149</v>
      </c>
    </row>
    <row r="814" spans="1:4">
      <c r="A814" s="186" t="s">
        <v>1746</v>
      </c>
      <c r="B814" s="186" t="s">
        <v>1747</v>
      </c>
      <c r="C814" s="187"/>
      <c r="D814" s="188">
        <v>162</v>
      </c>
    </row>
    <row r="815" spans="1:4">
      <c r="A815" s="186" t="s">
        <v>1748</v>
      </c>
      <c r="B815" s="186" t="s">
        <v>1749</v>
      </c>
      <c r="C815" s="187"/>
      <c r="D815" s="188">
        <v>170</v>
      </c>
    </row>
    <row r="816" spans="1:4">
      <c r="A816" s="186" t="s">
        <v>1750</v>
      </c>
      <c r="B816" s="186" t="s">
        <v>1751</v>
      </c>
      <c r="C816" s="187" t="s">
        <v>1752</v>
      </c>
      <c r="D816" s="188">
        <v>82</v>
      </c>
    </row>
    <row r="817" spans="1:4">
      <c r="A817" s="186" t="s">
        <v>1753</v>
      </c>
      <c r="B817" s="186" t="s">
        <v>1754</v>
      </c>
      <c r="C817" s="187" t="s">
        <v>1755</v>
      </c>
      <c r="D817" s="188">
        <v>87</v>
      </c>
    </row>
    <row r="818" spans="1:4">
      <c r="A818" s="186" t="s">
        <v>1756</v>
      </c>
      <c r="B818" s="186" t="s">
        <v>1757</v>
      </c>
      <c r="C818" s="187" t="s">
        <v>1758</v>
      </c>
      <c r="D818" s="188">
        <v>98</v>
      </c>
    </row>
    <row r="819" spans="1:4">
      <c r="A819" s="186" t="s">
        <v>1759</v>
      </c>
      <c r="B819" s="186" t="s">
        <v>1760</v>
      </c>
      <c r="C819" s="187" t="s">
        <v>1761</v>
      </c>
      <c r="D819" s="188">
        <v>105</v>
      </c>
    </row>
    <row r="820" spans="1:4">
      <c r="A820" s="186" t="s">
        <v>1762</v>
      </c>
      <c r="B820" s="186" t="s">
        <v>1763</v>
      </c>
      <c r="C820" s="187" t="s">
        <v>1764</v>
      </c>
      <c r="D820" s="188">
        <v>111</v>
      </c>
    </row>
    <row r="821" spans="1:4">
      <c r="A821" s="186" t="s">
        <v>1765</v>
      </c>
      <c r="B821" s="186" t="s">
        <v>1766</v>
      </c>
      <c r="C821" s="187" t="s">
        <v>1767</v>
      </c>
      <c r="D821" s="188">
        <v>120</v>
      </c>
    </row>
    <row r="822" spans="1:4">
      <c r="A822" s="186" t="s">
        <v>1768</v>
      </c>
      <c r="B822" s="186" t="s">
        <v>1769</v>
      </c>
      <c r="C822" s="187" t="s">
        <v>1770</v>
      </c>
      <c r="D822" s="188">
        <v>124</v>
      </c>
    </row>
    <row r="823" spans="1:4">
      <c r="A823" s="186" t="s">
        <v>1771</v>
      </c>
      <c r="B823" s="186" t="s">
        <v>1772</v>
      </c>
      <c r="C823" s="187" t="s">
        <v>1773</v>
      </c>
      <c r="D823" s="188">
        <v>135</v>
      </c>
    </row>
    <row r="824" spans="1:4">
      <c r="A824" s="186" t="s">
        <v>1774</v>
      </c>
      <c r="B824" s="186" t="s">
        <v>1775</v>
      </c>
      <c r="C824" s="187" t="s">
        <v>1776</v>
      </c>
      <c r="D824" s="188">
        <v>142</v>
      </c>
    </row>
    <row r="825" spans="1:4">
      <c r="A825" s="186" t="s">
        <v>1777</v>
      </c>
      <c r="B825" s="186" t="s">
        <v>1778</v>
      </c>
      <c r="C825" s="187"/>
      <c r="D825" s="188">
        <v>98</v>
      </c>
    </row>
    <row r="826" spans="1:4">
      <c r="A826" s="186" t="s">
        <v>1779</v>
      </c>
      <c r="B826" s="186" t="s">
        <v>1780</v>
      </c>
      <c r="C826" s="187"/>
      <c r="D826" s="188">
        <v>105</v>
      </c>
    </row>
    <row r="827" spans="1:4">
      <c r="A827" s="186" t="s">
        <v>1781</v>
      </c>
      <c r="B827" s="186" t="s">
        <v>1782</v>
      </c>
      <c r="C827" s="187"/>
      <c r="D827" s="188">
        <v>113</v>
      </c>
    </row>
    <row r="828" spans="1:4">
      <c r="A828" s="186" t="s">
        <v>1783</v>
      </c>
      <c r="B828" s="186" t="s">
        <v>1784</v>
      </c>
      <c r="C828" s="187"/>
      <c r="D828" s="188">
        <v>123</v>
      </c>
    </row>
    <row r="829" spans="1:4">
      <c r="A829" s="186" t="s">
        <v>1785</v>
      </c>
      <c r="B829" s="186" t="s">
        <v>1786</v>
      </c>
      <c r="C829" s="187"/>
      <c r="D829" s="188">
        <v>129</v>
      </c>
    </row>
    <row r="830" spans="1:4">
      <c r="A830" s="186" t="s">
        <v>1787</v>
      </c>
      <c r="B830" s="186" t="s">
        <v>1788</v>
      </c>
      <c r="C830" s="187"/>
      <c r="D830" s="188">
        <v>137</v>
      </c>
    </row>
    <row r="831" spans="1:4">
      <c r="A831" s="186" t="s">
        <v>1789</v>
      </c>
      <c r="B831" s="186" t="s">
        <v>1790</v>
      </c>
      <c r="C831" s="187"/>
      <c r="D831" s="188">
        <v>146</v>
      </c>
    </row>
    <row r="832" spans="1:4">
      <c r="A832" s="186" t="s">
        <v>1791</v>
      </c>
      <c r="B832" s="186" t="s">
        <v>1792</v>
      </c>
      <c r="C832" s="187"/>
      <c r="D832" s="188">
        <v>158</v>
      </c>
    </row>
    <row r="833" spans="1:4">
      <c r="A833" s="186" t="s">
        <v>1793</v>
      </c>
      <c r="B833" s="186" t="s">
        <v>1794</v>
      </c>
      <c r="C833" s="187"/>
      <c r="D833" s="188">
        <v>167</v>
      </c>
    </row>
    <row r="834" spans="1:4">
      <c r="A834" s="186" t="s">
        <v>1795</v>
      </c>
      <c r="B834" s="186" t="s">
        <v>1796</v>
      </c>
      <c r="C834" s="187"/>
      <c r="D834" s="188">
        <v>100</v>
      </c>
    </row>
    <row r="835" spans="1:4">
      <c r="A835" s="186" t="s">
        <v>1797</v>
      </c>
      <c r="B835" s="186" t="s">
        <v>1798</v>
      </c>
      <c r="C835" s="187"/>
      <c r="D835" s="188">
        <v>110</v>
      </c>
    </row>
    <row r="836" spans="1:4">
      <c r="A836" s="186" t="s">
        <v>1799</v>
      </c>
      <c r="B836" s="186" t="s">
        <v>1800</v>
      </c>
      <c r="C836" s="187"/>
      <c r="D836" s="188">
        <v>116</v>
      </c>
    </row>
    <row r="837" spans="1:4">
      <c r="A837" s="186" t="s">
        <v>1801</v>
      </c>
      <c r="B837" s="186" t="s">
        <v>1802</v>
      </c>
      <c r="C837" s="187"/>
      <c r="D837" s="188">
        <v>126</v>
      </c>
    </row>
    <row r="838" spans="1:4">
      <c r="A838" s="186" t="s">
        <v>1803</v>
      </c>
      <c r="B838" s="186" t="s">
        <v>1804</v>
      </c>
      <c r="C838" s="187"/>
      <c r="D838" s="188">
        <v>132</v>
      </c>
    </row>
    <row r="839" spans="1:4">
      <c r="A839" s="186" t="s">
        <v>1805</v>
      </c>
      <c r="B839" s="186" t="s">
        <v>1806</v>
      </c>
      <c r="C839" s="187"/>
      <c r="D839" s="188">
        <v>140</v>
      </c>
    </row>
    <row r="840" spans="1:4">
      <c r="A840" s="186" t="s">
        <v>1807</v>
      </c>
      <c r="B840" s="186" t="s">
        <v>1808</v>
      </c>
      <c r="C840" s="187"/>
      <c r="D840" s="188">
        <v>149</v>
      </c>
    </row>
    <row r="841" spans="1:4">
      <c r="A841" s="186" t="s">
        <v>1809</v>
      </c>
      <c r="B841" s="186" t="s">
        <v>1810</v>
      </c>
      <c r="C841" s="187"/>
      <c r="D841" s="188">
        <v>162</v>
      </c>
    </row>
    <row r="842" spans="1:4">
      <c r="A842" s="186" t="s">
        <v>1811</v>
      </c>
      <c r="B842" s="186" t="s">
        <v>1812</v>
      </c>
      <c r="C842" s="187"/>
      <c r="D842" s="188">
        <v>170</v>
      </c>
    </row>
    <row r="843" spans="1:4">
      <c r="A843" s="186" t="s">
        <v>1813</v>
      </c>
      <c r="B843" s="186" t="s">
        <v>1814</v>
      </c>
      <c r="C843" s="187"/>
      <c r="D843" s="188">
        <v>86</v>
      </c>
    </row>
    <row r="844" spans="1:4">
      <c r="A844" s="186" t="s">
        <v>1815</v>
      </c>
      <c r="B844" s="186" t="s">
        <v>1816</v>
      </c>
      <c r="C844" s="187"/>
      <c r="D844" s="188">
        <v>91</v>
      </c>
    </row>
    <row r="845" spans="1:4">
      <c r="A845" s="186" t="s">
        <v>1817</v>
      </c>
      <c r="B845" s="186" t="s">
        <v>1818</v>
      </c>
      <c r="C845" s="187"/>
      <c r="D845" s="188">
        <v>102</v>
      </c>
    </row>
    <row r="846" spans="1:4">
      <c r="A846" s="186" t="s">
        <v>1819</v>
      </c>
      <c r="B846" s="186" t="s">
        <v>1820</v>
      </c>
      <c r="C846" s="187"/>
      <c r="D846" s="188">
        <v>110</v>
      </c>
    </row>
    <row r="847" spans="1:4">
      <c r="A847" s="186" t="s">
        <v>1821</v>
      </c>
      <c r="B847" s="186" t="s">
        <v>1822</v>
      </c>
      <c r="C847" s="187"/>
      <c r="D847" s="188">
        <v>116</v>
      </c>
    </row>
    <row r="848" spans="1:4">
      <c r="A848" s="186" t="s">
        <v>1823</v>
      </c>
      <c r="B848" s="186" t="s">
        <v>1824</v>
      </c>
      <c r="C848" s="187"/>
      <c r="D848" s="188">
        <v>125</v>
      </c>
    </row>
    <row r="849" spans="1:4">
      <c r="A849" s="186" t="s">
        <v>1825</v>
      </c>
      <c r="B849" s="186" t="s">
        <v>1826</v>
      </c>
      <c r="C849" s="187"/>
      <c r="D849" s="188">
        <v>130</v>
      </c>
    </row>
    <row r="850" spans="1:4">
      <c r="A850" s="189" t="s">
        <v>1827</v>
      </c>
      <c r="B850" s="189" t="s">
        <v>1828</v>
      </c>
      <c r="C850" s="187"/>
      <c r="D850" s="190">
        <v>142</v>
      </c>
    </row>
    <row r="851" spans="1:4">
      <c r="A851" s="186" t="s">
        <v>1829</v>
      </c>
      <c r="B851" s="186" t="s">
        <v>1830</v>
      </c>
      <c r="C851" s="191"/>
      <c r="D851" s="188">
        <v>148</v>
      </c>
    </row>
    <row r="852" spans="1:4">
      <c r="A852" s="192" t="s">
        <v>1831</v>
      </c>
      <c r="B852" s="192" t="s">
        <v>1832</v>
      </c>
      <c r="C852" s="177" t="s">
        <v>1833</v>
      </c>
      <c r="D852" s="176">
        <v>163</v>
      </c>
    </row>
    <row r="853" spans="1:4">
      <c r="A853" s="192" t="s">
        <v>1834</v>
      </c>
      <c r="B853" s="192" t="s">
        <v>1835</v>
      </c>
      <c r="C853" s="177" t="s">
        <v>1836</v>
      </c>
      <c r="D853" s="176">
        <v>167</v>
      </c>
    </row>
    <row r="854" spans="1:4">
      <c r="A854" s="192" t="s">
        <v>1837</v>
      </c>
      <c r="B854" s="192" t="s">
        <v>1838</v>
      </c>
      <c r="C854" s="177" t="s">
        <v>1839</v>
      </c>
      <c r="D854" s="176">
        <v>173</v>
      </c>
    </row>
    <row r="855" spans="1:4">
      <c r="A855" s="192" t="s">
        <v>1840</v>
      </c>
      <c r="B855" s="192" t="s">
        <v>1841</v>
      </c>
      <c r="C855" s="177" t="s">
        <v>1842</v>
      </c>
      <c r="D855" s="176">
        <v>185</v>
      </c>
    </row>
    <row r="856" spans="1:4">
      <c r="A856" s="192" t="s">
        <v>1843</v>
      </c>
      <c r="B856" s="192" t="s">
        <v>1844</v>
      </c>
      <c r="C856" s="177" t="s">
        <v>1845</v>
      </c>
      <c r="D856" s="176">
        <v>190</v>
      </c>
    </row>
    <row r="857" spans="1:4">
      <c r="A857" s="192" t="s">
        <v>1846</v>
      </c>
      <c r="B857" s="192" t="s">
        <v>1847</v>
      </c>
      <c r="C857" s="177" t="s">
        <v>1848</v>
      </c>
      <c r="D857" s="176">
        <v>171</v>
      </c>
    </row>
    <row r="858" spans="1:4">
      <c r="A858" s="192" t="s">
        <v>1849</v>
      </c>
      <c r="B858" s="192" t="s">
        <v>1850</v>
      </c>
      <c r="C858" s="177" t="s">
        <v>1851</v>
      </c>
      <c r="D858" s="176">
        <v>175</v>
      </c>
    </row>
    <row r="859" spans="1:4">
      <c r="A859" s="192" t="s">
        <v>1852</v>
      </c>
      <c r="B859" s="192" t="s">
        <v>1853</v>
      </c>
      <c r="C859" s="177" t="s">
        <v>1854</v>
      </c>
      <c r="D859" s="176">
        <v>181</v>
      </c>
    </row>
    <row r="860" spans="1:4">
      <c r="A860" s="192" t="s">
        <v>1855</v>
      </c>
      <c r="B860" s="192" t="s">
        <v>1856</v>
      </c>
      <c r="C860" s="177" t="s">
        <v>1857</v>
      </c>
      <c r="D860" s="176">
        <v>193</v>
      </c>
    </row>
    <row r="861" spans="1:4">
      <c r="A861" s="192" t="s">
        <v>1858</v>
      </c>
      <c r="B861" s="192" t="s">
        <v>1859</v>
      </c>
      <c r="C861" s="177" t="s">
        <v>1860</v>
      </c>
      <c r="D861" s="176">
        <v>197</v>
      </c>
    </row>
    <row r="862" spans="1:4">
      <c r="A862" s="193" t="s">
        <v>1861</v>
      </c>
      <c r="B862" s="193" t="s">
        <v>1862</v>
      </c>
      <c r="C862" s="194" t="s">
        <v>1863</v>
      </c>
      <c r="D862" s="195">
        <v>113</v>
      </c>
    </row>
    <row r="863" spans="1:4">
      <c r="A863" s="193" t="s">
        <v>1864</v>
      </c>
      <c r="B863" s="193" t="s">
        <v>1865</v>
      </c>
      <c r="C863" s="194" t="s">
        <v>1866</v>
      </c>
      <c r="D863" s="195">
        <v>120</v>
      </c>
    </row>
    <row r="864" spans="1:4">
      <c r="A864" s="193" t="s">
        <v>1867</v>
      </c>
      <c r="B864" s="193" t="s">
        <v>1868</v>
      </c>
      <c r="C864" s="194" t="s">
        <v>1869</v>
      </c>
      <c r="D864" s="195">
        <v>138</v>
      </c>
    </row>
    <row r="865" spans="1:4">
      <c r="A865" s="193" t="s">
        <v>1870</v>
      </c>
      <c r="B865" s="193" t="s">
        <v>1871</v>
      </c>
      <c r="C865" s="194" t="s">
        <v>1872</v>
      </c>
      <c r="D865" s="195">
        <v>152</v>
      </c>
    </row>
    <row r="866" spans="1:4">
      <c r="A866" s="193" t="s">
        <v>1873</v>
      </c>
      <c r="B866" s="193" t="s">
        <v>1874</v>
      </c>
      <c r="C866" s="194" t="s">
        <v>1875</v>
      </c>
      <c r="D866" s="195">
        <v>163</v>
      </c>
    </row>
    <row r="867" spans="1:4">
      <c r="A867" s="193" t="s">
        <v>1876</v>
      </c>
      <c r="B867" s="193" t="s">
        <v>1877</v>
      </c>
      <c r="C867" s="194" t="s">
        <v>1878</v>
      </c>
      <c r="D867" s="195">
        <v>178</v>
      </c>
    </row>
    <row r="868" spans="1:4">
      <c r="A868" s="193" t="s">
        <v>1879</v>
      </c>
      <c r="B868" s="193" t="s">
        <v>1880</v>
      </c>
      <c r="C868" s="194" t="s">
        <v>1881</v>
      </c>
      <c r="D868" s="195">
        <v>115</v>
      </c>
    </row>
    <row r="869" spans="1:4">
      <c r="A869" s="193" t="s">
        <v>1882</v>
      </c>
      <c r="B869" s="193" t="s">
        <v>1883</v>
      </c>
      <c r="C869" s="194" t="s">
        <v>1884</v>
      </c>
      <c r="D869" s="195">
        <v>125</v>
      </c>
    </row>
    <row r="870" spans="1:4">
      <c r="A870" s="193" t="s">
        <v>1885</v>
      </c>
      <c r="B870" s="193" t="s">
        <v>1886</v>
      </c>
      <c r="C870" s="194" t="s">
        <v>1887</v>
      </c>
      <c r="D870" s="195">
        <v>143</v>
      </c>
    </row>
    <row r="871" spans="1:4">
      <c r="A871" s="193" t="s">
        <v>1888</v>
      </c>
      <c r="B871" s="193" t="s">
        <v>1889</v>
      </c>
      <c r="C871" s="194" t="s">
        <v>1890</v>
      </c>
      <c r="D871" s="195">
        <v>155</v>
      </c>
    </row>
    <row r="872" spans="1:4">
      <c r="A872" s="193" t="s">
        <v>1891</v>
      </c>
      <c r="B872" s="193" t="s">
        <v>1892</v>
      </c>
      <c r="C872" s="194" t="s">
        <v>1893</v>
      </c>
      <c r="D872" s="195">
        <v>172</v>
      </c>
    </row>
    <row r="873" spans="1:4">
      <c r="A873" s="193" t="s">
        <v>1894</v>
      </c>
      <c r="B873" s="193" t="s">
        <v>1895</v>
      </c>
      <c r="C873" s="194" t="s">
        <v>1896</v>
      </c>
      <c r="D873" s="195">
        <v>187</v>
      </c>
    </row>
    <row r="874" spans="1:4">
      <c r="A874" s="196">
        <v>12126200000334</v>
      </c>
      <c r="B874" s="196">
        <v>12126200000334</v>
      </c>
      <c r="C874" s="194" t="s">
        <v>1897</v>
      </c>
      <c r="D874" s="197">
        <v>6.64</v>
      </c>
    </row>
    <row r="875" spans="1:4">
      <c r="A875" s="193" t="s">
        <v>1898</v>
      </c>
      <c r="B875" s="193" t="s">
        <v>1899</v>
      </c>
      <c r="C875" s="194" t="s">
        <v>1863</v>
      </c>
      <c r="D875" s="195">
        <v>93</v>
      </c>
    </row>
    <row r="876" spans="1:4">
      <c r="A876" s="193" t="s">
        <v>1900</v>
      </c>
      <c r="B876" s="193" t="s">
        <v>1901</v>
      </c>
      <c r="C876" s="194" t="s">
        <v>1866</v>
      </c>
      <c r="D876" s="195">
        <v>100</v>
      </c>
    </row>
    <row r="877" spans="1:4">
      <c r="A877" s="193" t="s">
        <v>1902</v>
      </c>
      <c r="B877" s="193" t="s">
        <v>1903</v>
      </c>
      <c r="C877" s="194" t="s">
        <v>1869</v>
      </c>
      <c r="D877" s="195">
        <v>118</v>
      </c>
    </row>
    <row r="878" spans="1:4">
      <c r="A878" s="193" t="s">
        <v>1904</v>
      </c>
      <c r="B878" s="193" t="s">
        <v>1905</v>
      </c>
      <c r="C878" s="194" t="s">
        <v>1872</v>
      </c>
      <c r="D878" s="195">
        <v>130</v>
      </c>
    </row>
    <row r="879" spans="1:4">
      <c r="A879" s="193" t="s">
        <v>1906</v>
      </c>
      <c r="B879" s="193" t="s">
        <v>1907</v>
      </c>
      <c r="C879" s="194" t="s">
        <v>1875</v>
      </c>
      <c r="D879" s="195">
        <v>141</v>
      </c>
    </row>
    <row r="880" spans="1:4">
      <c r="A880" s="193" t="s">
        <v>1908</v>
      </c>
      <c r="B880" s="193" t="s">
        <v>1909</v>
      </c>
      <c r="C880" s="194" t="s">
        <v>1878</v>
      </c>
      <c r="D880" s="195">
        <v>157</v>
      </c>
    </row>
    <row r="881" spans="1:4">
      <c r="A881" s="193" t="s">
        <v>1910</v>
      </c>
      <c r="B881" s="193" t="s">
        <v>1911</v>
      </c>
      <c r="C881" s="194" t="s">
        <v>1881</v>
      </c>
      <c r="D881" s="195">
        <v>95</v>
      </c>
    </row>
    <row r="882" spans="1:4">
      <c r="A882" s="193" t="s">
        <v>1912</v>
      </c>
      <c r="B882" s="193" t="s">
        <v>1913</v>
      </c>
      <c r="C882" s="194" t="s">
        <v>1884</v>
      </c>
      <c r="D882" s="195">
        <v>105</v>
      </c>
    </row>
    <row r="883" spans="1:4">
      <c r="A883" s="193" t="s">
        <v>1914</v>
      </c>
      <c r="B883" s="193" t="s">
        <v>1915</v>
      </c>
      <c r="C883" s="194" t="s">
        <v>1887</v>
      </c>
      <c r="D883" s="195">
        <v>123</v>
      </c>
    </row>
    <row r="884" spans="1:4">
      <c r="A884" s="193" t="s">
        <v>1916</v>
      </c>
      <c r="B884" s="193" t="s">
        <v>1917</v>
      </c>
      <c r="C884" s="194" t="s">
        <v>1890</v>
      </c>
      <c r="D884" s="195">
        <v>134</v>
      </c>
    </row>
    <row r="885" spans="1:4">
      <c r="A885" s="193" t="s">
        <v>1918</v>
      </c>
      <c r="B885" s="193" t="s">
        <v>1919</v>
      </c>
      <c r="C885" s="194" t="s">
        <v>1893</v>
      </c>
      <c r="D885" s="195">
        <v>149</v>
      </c>
    </row>
    <row r="886" spans="1:4">
      <c r="A886" s="193" t="s">
        <v>1920</v>
      </c>
      <c r="B886" s="193" t="s">
        <v>1921</v>
      </c>
      <c r="C886" s="194" t="s">
        <v>1896</v>
      </c>
      <c r="D886" s="195">
        <v>166</v>
      </c>
    </row>
    <row r="887" spans="1:4">
      <c r="A887" s="192"/>
      <c r="B887" s="192"/>
      <c r="C887" s="177"/>
      <c r="D887" s="176"/>
    </row>
    <row r="888" spans="1:4">
      <c r="A888" s="178" t="s">
        <v>1922</v>
      </c>
      <c r="B888" s="178" t="s">
        <v>1922</v>
      </c>
      <c r="C888" s="177" t="s">
        <v>1923</v>
      </c>
      <c r="D888" s="176">
        <v>135</v>
      </c>
    </row>
    <row r="889" spans="1:4">
      <c r="A889" s="198" t="s">
        <v>1924</v>
      </c>
      <c r="B889" s="198" t="s">
        <v>1924</v>
      </c>
      <c r="C889" s="177" t="s">
        <v>1925</v>
      </c>
      <c r="D889" s="199">
        <v>148</v>
      </c>
    </row>
    <row r="890" spans="1:4">
      <c r="A890" s="178" t="s">
        <v>1926</v>
      </c>
      <c r="B890" s="178" t="s">
        <v>1926</v>
      </c>
      <c r="C890" s="177" t="s">
        <v>1927</v>
      </c>
      <c r="D890" s="176">
        <v>163</v>
      </c>
    </row>
    <row r="891" spans="1:4">
      <c r="A891" s="178" t="s">
        <v>1928</v>
      </c>
      <c r="B891" s="178" t="s">
        <v>1928</v>
      </c>
      <c r="C891" s="177" t="s">
        <v>1929</v>
      </c>
      <c r="D891" s="176">
        <v>163</v>
      </c>
    </row>
    <row r="892" spans="1:4">
      <c r="A892" s="178" t="s">
        <v>1930</v>
      </c>
      <c r="B892" s="178" t="s">
        <v>1930</v>
      </c>
      <c r="C892" s="177" t="s">
        <v>1931</v>
      </c>
      <c r="D892" s="176">
        <v>185</v>
      </c>
    </row>
    <row r="893" spans="1:4">
      <c r="A893" s="178" t="s">
        <v>1932</v>
      </c>
      <c r="B893" s="178" t="s">
        <v>1932</v>
      </c>
      <c r="C893" s="177" t="s">
        <v>1933</v>
      </c>
      <c r="D893" s="176">
        <v>208</v>
      </c>
    </row>
    <row r="894" spans="1:4">
      <c r="A894" s="178" t="s">
        <v>1934</v>
      </c>
      <c r="B894" s="178" t="s">
        <v>1934</v>
      </c>
      <c r="C894" s="177" t="s">
        <v>1935</v>
      </c>
      <c r="D894" s="176">
        <v>139</v>
      </c>
    </row>
    <row r="895" spans="1:4">
      <c r="A895" s="178" t="s">
        <v>1936</v>
      </c>
      <c r="B895" s="178" t="s">
        <v>1936</v>
      </c>
      <c r="C895" s="177" t="s">
        <v>1937</v>
      </c>
      <c r="D895" s="176">
        <v>154</v>
      </c>
    </row>
    <row r="896" spans="1:4">
      <c r="A896" s="178" t="s">
        <v>1938</v>
      </c>
      <c r="B896" s="178" t="s">
        <v>1938</v>
      </c>
      <c r="C896" s="177" t="s">
        <v>1939</v>
      </c>
      <c r="D896" s="176">
        <v>170</v>
      </c>
    </row>
    <row r="897" spans="1:4">
      <c r="A897" s="178" t="s">
        <v>1940</v>
      </c>
      <c r="B897" s="178" t="s">
        <v>1940</v>
      </c>
      <c r="C897" s="177" t="s">
        <v>1941</v>
      </c>
      <c r="D897" s="176">
        <v>170</v>
      </c>
    </row>
    <row r="898" spans="1:4">
      <c r="A898" s="178" t="s">
        <v>1942</v>
      </c>
      <c r="B898" s="178" t="s">
        <v>1942</v>
      </c>
      <c r="C898" s="177" t="s">
        <v>1943</v>
      </c>
      <c r="D898" s="176">
        <v>194</v>
      </c>
    </row>
    <row r="899" spans="1:4">
      <c r="A899" s="178" t="s">
        <v>1944</v>
      </c>
      <c r="B899" s="178" t="s">
        <v>1944</v>
      </c>
      <c r="C899" s="177" t="s">
        <v>1945</v>
      </c>
      <c r="D899" s="176">
        <v>222</v>
      </c>
    </row>
    <row r="900" spans="1:4" ht="17">
      <c r="A900" s="156" t="s">
        <v>1182</v>
      </c>
      <c r="B900" s="178" t="s">
        <v>1183</v>
      </c>
      <c r="C900" s="157" t="s">
        <v>1184</v>
      </c>
      <c r="D900" s="150">
        <v>147</v>
      </c>
    </row>
    <row r="901" spans="1:4" ht="17">
      <c r="A901" s="156" t="s">
        <v>1185</v>
      </c>
      <c r="B901" s="178" t="s">
        <v>1186</v>
      </c>
      <c r="C901" s="157" t="s">
        <v>1184</v>
      </c>
      <c r="D901" s="150">
        <v>186</v>
      </c>
    </row>
    <row r="902" spans="1:4" ht="17">
      <c r="A902" s="156" t="s">
        <v>1187</v>
      </c>
      <c r="B902" s="178" t="s">
        <v>1188</v>
      </c>
      <c r="C902" s="157" t="s">
        <v>1184</v>
      </c>
      <c r="D902" s="150">
        <v>222</v>
      </c>
    </row>
    <row r="903" spans="1:4" ht="17">
      <c r="A903" s="156" t="s">
        <v>1189</v>
      </c>
      <c r="B903" s="178" t="s">
        <v>1190</v>
      </c>
      <c r="C903" s="233" t="s">
        <v>1191</v>
      </c>
      <c r="D903" s="158">
        <v>350</v>
      </c>
    </row>
    <row r="904" spans="1:4" ht="17">
      <c r="A904" s="156" t="s">
        <v>1192</v>
      </c>
      <c r="B904" s="178" t="s">
        <v>1193</v>
      </c>
      <c r="C904" s="157" t="s">
        <v>1194</v>
      </c>
      <c r="D904" s="158">
        <v>387</v>
      </c>
    </row>
    <row r="905" spans="1:4" ht="17">
      <c r="A905" s="156" t="s">
        <v>1195</v>
      </c>
      <c r="B905" s="178" t="s">
        <v>1196</v>
      </c>
      <c r="C905" s="157" t="s">
        <v>1197</v>
      </c>
      <c r="D905" s="158">
        <v>436</v>
      </c>
    </row>
    <row r="906" spans="1:4" ht="17">
      <c r="A906" s="159" t="s">
        <v>1198</v>
      </c>
      <c r="B906" s="178" t="s">
        <v>1199</v>
      </c>
      <c r="C906" s="596" t="s">
        <v>1946</v>
      </c>
      <c r="D906" s="150">
        <v>1052</v>
      </c>
    </row>
    <row r="907" spans="1:4" ht="17">
      <c r="A907" s="159" t="s">
        <v>1201</v>
      </c>
      <c r="B907" s="178" t="s">
        <v>1202</v>
      </c>
      <c r="C907" s="597"/>
      <c r="D907" s="150">
        <v>1071</v>
      </c>
    </row>
    <row r="908" spans="1:4" ht="17">
      <c r="A908" s="159" t="s">
        <v>1204</v>
      </c>
      <c r="B908" s="178" t="s">
        <v>1205</v>
      </c>
      <c r="C908" s="597"/>
      <c r="D908" s="150">
        <v>1368</v>
      </c>
    </row>
    <row r="909" spans="1:4" ht="17">
      <c r="A909" s="152" t="s">
        <v>1207</v>
      </c>
      <c r="B909" s="152" t="s">
        <v>1208</v>
      </c>
      <c r="C909" s="598"/>
      <c r="D909" s="150">
        <v>1804</v>
      </c>
    </row>
    <row r="910" spans="1:4" ht="17">
      <c r="A910" s="152" t="s">
        <v>1210</v>
      </c>
      <c r="B910" s="152" t="s">
        <v>1211</v>
      </c>
      <c r="C910" s="596" t="s">
        <v>1946</v>
      </c>
      <c r="D910" s="150">
        <v>2380</v>
      </c>
    </row>
    <row r="911" spans="1:4" ht="17">
      <c r="A911" s="152" t="s">
        <v>1213</v>
      </c>
      <c r="B911" s="178" t="s">
        <v>1214</v>
      </c>
      <c r="C911" s="597"/>
      <c r="D911" s="150">
        <v>2644</v>
      </c>
    </row>
    <row r="912" spans="1:4" ht="17">
      <c r="A912" s="152" t="s">
        <v>1215</v>
      </c>
      <c r="B912" s="178" t="s">
        <v>1216</v>
      </c>
      <c r="C912" s="597"/>
      <c r="D912" s="150">
        <v>2881</v>
      </c>
    </row>
    <row r="913" spans="1:4" ht="17">
      <c r="A913" s="154" t="s">
        <v>1218</v>
      </c>
      <c r="B913" s="178" t="s">
        <v>1219</v>
      </c>
      <c r="C913" s="599"/>
      <c r="D913" s="155">
        <v>4250</v>
      </c>
    </row>
    <row r="914" spans="1:4" ht="17">
      <c r="A914" s="152" t="s">
        <v>1947</v>
      </c>
      <c r="B914" s="152" t="s">
        <v>1948</v>
      </c>
      <c r="C914" s="149" t="s">
        <v>1949</v>
      </c>
      <c r="D914" s="200">
        <v>1327</v>
      </c>
    </row>
    <row r="915" spans="1:4" ht="17">
      <c r="A915" s="152" t="s">
        <v>1950</v>
      </c>
      <c r="B915" s="152" t="s">
        <v>1951</v>
      </c>
      <c r="C915" s="149" t="s">
        <v>1952</v>
      </c>
      <c r="D915" s="200">
        <v>1432</v>
      </c>
    </row>
    <row r="916" spans="1:4" ht="17">
      <c r="A916" s="152" t="s">
        <v>1953</v>
      </c>
      <c r="B916" s="152" t="s">
        <v>1954</v>
      </c>
      <c r="C916" s="149" t="s">
        <v>1955</v>
      </c>
      <c r="D916" s="200">
        <v>1545</v>
      </c>
    </row>
    <row r="917" spans="1:4" ht="17">
      <c r="A917" s="152" t="s">
        <v>1956</v>
      </c>
      <c r="B917" s="152" t="s">
        <v>1957</v>
      </c>
      <c r="C917" s="234" t="s">
        <v>1958</v>
      </c>
      <c r="D917" s="200">
        <v>1900</v>
      </c>
    </row>
    <row r="918" spans="1:4" ht="17">
      <c r="A918" s="152" t="s">
        <v>1959</v>
      </c>
      <c r="B918" s="152" t="s">
        <v>1960</v>
      </c>
      <c r="C918" s="149" t="s">
        <v>1961</v>
      </c>
      <c r="D918" s="200">
        <v>2112</v>
      </c>
    </row>
    <row r="919" spans="1:4" ht="17">
      <c r="A919" s="152" t="s">
        <v>1962</v>
      </c>
      <c r="B919" s="152" t="s">
        <v>1963</v>
      </c>
      <c r="C919" s="149" t="s">
        <v>1964</v>
      </c>
      <c r="D919" s="200">
        <v>2455</v>
      </c>
    </row>
    <row r="920" spans="1:4" ht="17">
      <c r="A920" s="152" t="s">
        <v>1965</v>
      </c>
      <c r="B920" s="152" t="s">
        <v>1966</v>
      </c>
      <c r="C920" s="149" t="s">
        <v>1967</v>
      </c>
      <c r="D920" s="200">
        <v>2579</v>
      </c>
    </row>
    <row r="921" spans="1:4" ht="17">
      <c r="A921" s="152" t="s">
        <v>1968</v>
      </c>
      <c r="B921" s="152" t="s">
        <v>1969</v>
      </c>
      <c r="C921" s="149" t="s">
        <v>1970</v>
      </c>
      <c r="D921" s="200">
        <v>2638</v>
      </c>
    </row>
    <row r="922" spans="1:4" ht="17">
      <c r="A922" s="152" t="s">
        <v>1971</v>
      </c>
      <c r="B922" s="152" t="s">
        <v>1972</v>
      </c>
      <c r="C922" s="149" t="s">
        <v>1973</v>
      </c>
      <c r="D922" s="200">
        <v>2947</v>
      </c>
    </row>
    <row r="923" spans="1:4" ht="17">
      <c r="A923" s="152" t="s">
        <v>1974</v>
      </c>
      <c r="B923" s="152" t="s">
        <v>1975</v>
      </c>
      <c r="C923" s="149" t="s">
        <v>1976</v>
      </c>
      <c r="D923" s="200">
        <v>3035</v>
      </c>
    </row>
    <row r="924" spans="1:4" ht="17">
      <c r="A924" s="152" t="s">
        <v>1977</v>
      </c>
      <c r="B924" s="152" t="s">
        <v>1978</v>
      </c>
      <c r="C924" s="149" t="s">
        <v>1979</v>
      </c>
      <c r="D924" s="200">
        <v>3177</v>
      </c>
    </row>
    <row r="925" spans="1:4" ht="17">
      <c r="A925" s="152" t="s">
        <v>1980</v>
      </c>
      <c r="B925" s="152" t="s">
        <v>1981</v>
      </c>
      <c r="C925" s="149" t="s">
        <v>1982</v>
      </c>
      <c r="D925" s="200">
        <v>3367</v>
      </c>
    </row>
    <row r="926" spans="1:4">
      <c r="A926" s="147"/>
      <c r="B926" s="147"/>
      <c r="C926" s="147"/>
      <c r="D926" s="147"/>
    </row>
    <row r="927" spans="1:4">
      <c r="A927" s="147"/>
      <c r="B927" s="147" t="s">
        <v>1983</v>
      </c>
      <c r="C927" s="147"/>
      <c r="D927" s="147"/>
    </row>
    <row r="928" spans="1:4">
      <c r="A928" s="147"/>
      <c r="B928" s="147"/>
      <c r="C928" s="147"/>
      <c r="D928" s="147"/>
    </row>
    <row r="929" spans="1:4">
      <c r="A929" s="147"/>
      <c r="B929" s="147"/>
      <c r="C929" s="147"/>
      <c r="D929" s="147"/>
    </row>
    <row r="930" spans="1:4">
      <c r="A930" s="201" t="s">
        <v>1984</v>
      </c>
      <c r="C930" s="202" t="s">
        <v>1985</v>
      </c>
      <c r="D930" s="203">
        <v>1991</v>
      </c>
    </row>
    <row r="931" spans="1:4">
      <c r="A931" s="204" t="s">
        <v>1986</v>
      </c>
      <c r="C931" s="205" t="s">
        <v>1987</v>
      </c>
      <c r="D931" s="203">
        <v>2055</v>
      </c>
    </row>
    <row r="932" spans="1:4">
      <c r="A932" s="204" t="s">
        <v>1988</v>
      </c>
      <c r="C932" s="205" t="s">
        <v>1989</v>
      </c>
      <c r="D932" s="203">
        <v>2122</v>
      </c>
    </row>
    <row r="933" spans="1:4">
      <c r="A933" s="204" t="s">
        <v>1990</v>
      </c>
      <c r="C933" s="205" t="s">
        <v>1991</v>
      </c>
      <c r="D933" s="203">
        <v>1181</v>
      </c>
    </row>
    <row r="934" spans="1:4">
      <c r="A934" s="204" t="s">
        <v>1992</v>
      </c>
      <c r="C934" s="205" t="s">
        <v>1993</v>
      </c>
      <c r="D934" s="203">
        <v>1181</v>
      </c>
    </row>
    <row r="935" spans="1:4">
      <c r="A935" s="206" t="s">
        <v>1994</v>
      </c>
      <c r="C935" s="207" t="s">
        <v>1993</v>
      </c>
      <c r="D935" s="203">
        <v>1181</v>
      </c>
    </row>
    <row r="936" spans="1:4">
      <c r="A936" s="204" t="s">
        <v>1995</v>
      </c>
      <c r="C936" s="205" t="s">
        <v>1996</v>
      </c>
      <c r="D936" s="203">
        <v>1905</v>
      </c>
    </row>
    <row r="937" spans="1:4">
      <c r="A937" s="204" t="s">
        <v>1997</v>
      </c>
      <c r="C937" s="205" t="s">
        <v>1998</v>
      </c>
      <c r="D937" s="203">
        <v>1966</v>
      </c>
    </row>
    <row r="938" spans="1:4">
      <c r="A938" s="204" t="s">
        <v>1999</v>
      </c>
      <c r="C938" s="205" t="s">
        <v>2000</v>
      </c>
      <c r="D938" s="203">
        <v>1997</v>
      </c>
    </row>
    <row r="939" spans="1:4">
      <c r="A939" s="208" t="s">
        <v>2001</v>
      </c>
      <c r="C939" s="209" t="s">
        <v>2002</v>
      </c>
      <c r="D939" s="203">
        <v>2030</v>
      </c>
    </row>
    <row r="940" spans="1:4">
      <c r="A940" s="208" t="s">
        <v>2003</v>
      </c>
      <c r="C940" s="205" t="s">
        <v>2004</v>
      </c>
      <c r="D940" s="203">
        <v>185</v>
      </c>
    </row>
    <row r="941" spans="1:4">
      <c r="A941" s="208" t="s">
        <v>2005</v>
      </c>
      <c r="C941" s="209" t="s">
        <v>2006</v>
      </c>
      <c r="D941" s="203">
        <v>546</v>
      </c>
    </row>
    <row r="942" spans="1:4">
      <c r="A942" s="208" t="s">
        <v>2007</v>
      </c>
      <c r="C942" s="209" t="s">
        <v>2008</v>
      </c>
      <c r="D942" s="203">
        <v>555</v>
      </c>
    </row>
    <row r="943" spans="1:4">
      <c r="A943" s="204" t="s">
        <v>2009</v>
      </c>
      <c r="C943" s="209" t="s">
        <v>2010</v>
      </c>
      <c r="D943" s="203">
        <v>616</v>
      </c>
    </row>
    <row r="944" spans="1:4">
      <c r="A944" s="204" t="s">
        <v>2011</v>
      </c>
      <c r="C944" s="209" t="s">
        <v>2012</v>
      </c>
      <c r="D944" s="203">
        <v>993</v>
      </c>
    </row>
    <row r="945" spans="1:4">
      <c r="A945" s="204" t="s">
        <v>2013</v>
      </c>
      <c r="C945" s="209" t="s">
        <v>2014</v>
      </c>
      <c r="D945" s="203">
        <v>1073</v>
      </c>
    </row>
    <row r="946" spans="1:4">
      <c r="A946" s="204" t="s">
        <v>2015</v>
      </c>
      <c r="C946" s="209" t="s">
        <v>2016</v>
      </c>
      <c r="D946" s="203">
        <v>1122</v>
      </c>
    </row>
    <row r="947" spans="1:4">
      <c r="A947" s="204" t="s">
        <v>2017</v>
      </c>
      <c r="C947" s="209" t="s">
        <v>2018</v>
      </c>
      <c r="D947" s="203">
        <v>1142</v>
      </c>
    </row>
    <row r="948" spans="1:4">
      <c r="A948" s="204" t="s">
        <v>2019</v>
      </c>
      <c r="C948" s="209" t="s">
        <v>2020</v>
      </c>
      <c r="D948" s="203">
        <v>1191</v>
      </c>
    </row>
    <row r="949" spans="1:4">
      <c r="A949" s="204" t="s">
        <v>2021</v>
      </c>
      <c r="C949" s="209" t="s">
        <v>2022</v>
      </c>
      <c r="D949" s="203">
        <v>1211</v>
      </c>
    </row>
    <row r="950" spans="1:4">
      <c r="A950" s="204" t="s">
        <v>2023</v>
      </c>
      <c r="C950" s="209" t="s">
        <v>2024</v>
      </c>
      <c r="D950" s="203">
        <v>1231</v>
      </c>
    </row>
    <row r="951" spans="1:4">
      <c r="A951" s="204" t="s">
        <v>2025</v>
      </c>
      <c r="C951" s="209" t="s">
        <v>2026</v>
      </c>
      <c r="D951" s="203">
        <v>817</v>
      </c>
    </row>
    <row r="952" spans="1:4">
      <c r="A952" s="208" t="s">
        <v>2027</v>
      </c>
      <c r="C952" s="209" t="s">
        <v>2028</v>
      </c>
      <c r="D952" s="203">
        <v>891</v>
      </c>
    </row>
    <row r="953" spans="1:4">
      <c r="A953" s="204" t="s">
        <v>2029</v>
      </c>
      <c r="C953" s="209" t="s">
        <v>2030</v>
      </c>
      <c r="D953" s="203">
        <v>922</v>
      </c>
    </row>
    <row r="954" spans="1:4">
      <c r="A954" s="204" t="s">
        <v>2031</v>
      </c>
      <c r="C954" s="209" t="s">
        <v>2032</v>
      </c>
      <c r="D954" s="203">
        <v>2091</v>
      </c>
    </row>
    <row r="955" spans="1:4">
      <c r="A955" s="204" t="s">
        <v>2033</v>
      </c>
      <c r="B955" s="204" t="s">
        <v>2034</v>
      </c>
      <c r="C955" s="209" t="s">
        <v>2035</v>
      </c>
      <c r="D955" s="203">
        <v>2140</v>
      </c>
    </row>
    <row r="956" spans="1:4">
      <c r="A956" s="204" t="s">
        <v>2036</v>
      </c>
      <c r="C956" s="209" t="s">
        <v>2037</v>
      </c>
      <c r="D956" s="203">
        <v>2209</v>
      </c>
    </row>
    <row r="957" spans="1:4">
      <c r="A957" s="204" t="s">
        <v>2038</v>
      </c>
      <c r="C957" s="209" t="s">
        <v>2039</v>
      </c>
      <c r="D957" s="203">
        <v>1215</v>
      </c>
    </row>
    <row r="958" spans="1:4">
      <c r="A958" s="204" t="s">
        <v>2040</v>
      </c>
      <c r="C958" s="209" t="s">
        <v>2041</v>
      </c>
      <c r="D958" s="203">
        <v>1268</v>
      </c>
    </row>
    <row r="959" spans="1:4">
      <c r="A959" s="204" t="s">
        <v>2042</v>
      </c>
      <c r="C959" s="209" t="s">
        <v>2043</v>
      </c>
      <c r="D959" s="203">
        <v>1309</v>
      </c>
    </row>
    <row r="960" spans="1:4">
      <c r="A960" s="204" t="s">
        <v>2044</v>
      </c>
      <c r="C960" s="209" t="s">
        <v>2045</v>
      </c>
      <c r="D960" s="203">
        <v>2043</v>
      </c>
    </row>
    <row r="961" spans="1:4">
      <c r="A961" s="204" t="s">
        <v>2046</v>
      </c>
      <c r="C961" s="209" t="s">
        <v>2047</v>
      </c>
      <c r="D961" s="203">
        <v>2100</v>
      </c>
    </row>
    <row r="962" spans="1:4">
      <c r="A962" s="208" t="s">
        <v>2048</v>
      </c>
      <c r="C962" s="209" t="s">
        <v>2049</v>
      </c>
      <c r="D962" s="203">
        <v>2187</v>
      </c>
    </row>
    <row r="963" spans="1:4">
      <c r="A963" s="210" t="s">
        <v>2050</v>
      </c>
      <c r="C963" s="209" t="s">
        <v>2051</v>
      </c>
      <c r="D963" s="211">
        <v>559</v>
      </c>
    </row>
    <row r="964" spans="1:4">
      <c r="A964" s="210" t="s">
        <v>2052</v>
      </c>
      <c r="C964" s="209" t="s">
        <v>2053</v>
      </c>
      <c r="D964" s="211">
        <v>587</v>
      </c>
    </row>
    <row r="965" spans="1:4">
      <c r="A965" s="210" t="s">
        <v>2054</v>
      </c>
      <c r="C965" s="209" t="s">
        <v>2055</v>
      </c>
      <c r="D965" s="211">
        <v>628</v>
      </c>
    </row>
    <row r="966" spans="1:4">
      <c r="A966" s="210" t="s">
        <v>2056</v>
      </c>
      <c r="C966" s="209" t="s">
        <v>2057</v>
      </c>
      <c r="D966" s="211">
        <v>667</v>
      </c>
    </row>
    <row r="967" spans="1:4">
      <c r="A967" s="210" t="s">
        <v>2058</v>
      </c>
      <c r="C967" s="209" t="s">
        <v>2059</v>
      </c>
      <c r="D967" s="211">
        <v>751</v>
      </c>
    </row>
    <row r="968" spans="1:4">
      <c r="A968" s="210" t="s">
        <v>2060</v>
      </c>
      <c r="C968" s="209" t="s">
        <v>2061</v>
      </c>
      <c r="D968" s="211">
        <v>775</v>
      </c>
    </row>
    <row r="969" spans="1:4">
      <c r="A969" s="212" t="s">
        <v>2062</v>
      </c>
      <c r="B969" s="212" t="s">
        <v>2062</v>
      </c>
      <c r="C969" s="205" t="s">
        <v>2063</v>
      </c>
      <c r="D969" s="213">
        <v>1431</v>
      </c>
    </row>
    <row r="970" spans="1:4">
      <c r="A970" s="212" t="s">
        <v>2064</v>
      </c>
      <c r="B970" s="212" t="s">
        <v>2064</v>
      </c>
      <c r="C970" s="205" t="s">
        <v>2065</v>
      </c>
      <c r="D970" s="213">
        <v>1768</v>
      </c>
    </row>
    <row r="971" spans="1:4">
      <c r="A971" s="212" t="s">
        <v>2066</v>
      </c>
      <c r="B971" s="212" t="s">
        <v>2066</v>
      </c>
      <c r="C971" s="205" t="s">
        <v>2067</v>
      </c>
      <c r="D971" s="213">
        <v>3054</v>
      </c>
    </row>
    <row r="972" spans="1:4">
      <c r="A972" s="212" t="s">
        <v>2068</v>
      </c>
      <c r="B972" s="212" t="s">
        <v>2068</v>
      </c>
      <c r="C972" s="205" t="s">
        <v>2069</v>
      </c>
      <c r="D972" s="213">
        <v>6223</v>
      </c>
    </row>
    <row r="973" spans="1:4">
      <c r="A973" s="212" t="s">
        <v>2070</v>
      </c>
      <c r="B973" s="212" t="s">
        <v>2070</v>
      </c>
      <c r="C973" s="205" t="s">
        <v>2071</v>
      </c>
      <c r="D973" s="213">
        <v>611</v>
      </c>
    </row>
    <row r="974" spans="1:4">
      <c r="A974" s="212" t="s">
        <v>2072</v>
      </c>
      <c r="B974" s="212" t="s">
        <v>2072</v>
      </c>
      <c r="C974" s="205" t="s">
        <v>2073</v>
      </c>
      <c r="D974" s="213">
        <v>636</v>
      </c>
    </row>
    <row r="975" spans="1:4">
      <c r="A975" s="212" t="s">
        <v>2074</v>
      </c>
      <c r="B975" s="212" t="s">
        <v>2074</v>
      </c>
      <c r="C975" s="205" t="s">
        <v>2075</v>
      </c>
      <c r="D975" s="213">
        <v>752</v>
      </c>
    </row>
    <row r="976" spans="1:4">
      <c r="A976" s="214" t="s">
        <v>2076</v>
      </c>
      <c r="B976" s="214" t="s">
        <v>2076</v>
      </c>
      <c r="C976" s="215" t="s">
        <v>2077</v>
      </c>
      <c r="D976" s="200">
        <v>785</v>
      </c>
    </row>
    <row r="977" spans="1:5">
      <c r="A977" s="147"/>
      <c r="B977" s="147"/>
      <c r="C977" s="147"/>
      <c r="D977" s="147"/>
      <c r="E977" s="147"/>
    </row>
    <row r="978" spans="1:5">
      <c r="A978" s="147"/>
      <c r="B978" s="147" t="s">
        <v>2078</v>
      </c>
      <c r="C978" s="147"/>
      <c r="D978" s="147"/>
      <c r="E978" s="147"/>
    </row>
    <row r="979" spans="1:5">
      <c r="A979" s="147"/>
      <c r="B979" s="147"/>
      <c r="C979" s="147"/>
      <c r="D979" s="147"/>
      <c r="E979" s="147"/>
    </row>
    <row r="980" spans="1:5">
      <c r="A980" s="147"/>
      <c r="B980" s="147"/>
      <c r="C980" s="147"/>
      <c r="D980" s="147"/>
      <c r="E980" s="147"/>
    </row>
    <row r="981" spans="1:5">
      <c r="A981" s="216" t="s">
        <v>2079</v>
      </c>
      <c r="C981" s="217" t="s">
        <v>2080</v>
      </c>
      <c r="D981" s="203">
        <v>510</v>
      </c>
    </row>
    <row r="982" spans="1:5">
      <c r="A982" s="216" t="s">
        <v>2081</v>
      </c>
      <c r="C982" s="217" t="s">
        <v>2082</v>
      </c>
      <c r="D982" s="203">
        <v>510</v>
      </c>
    </row>
    <row r="983" spans="1:5">
      <c r="A983" s="216" t="s">
        <v>2083</v>
      </c>
      <c r="C983" s="217" t="s">
        <v>2084</v>
      </c>
      <c r="D983" s="203">
        <v>562</v>
      </c>
    </row>
    <row r="984" spans="1:5">
      <c r="A984" s="216" t="s">
        <v>2085</v>
      </c>
      <c r="C984" s="217" t="s">
        <v>2086</v>
      </c>
      <c r="D984" s="203">
        <v>562</v>
      </c>
    </row>
    <row r="985" spans="1:5">
      <c r="A985" s="216" t="s">
        <v>2087</v>
      </c>
      <c r="C985" s="217" t="s">
        <v>2088</v>
      </c>
      <c r="D985" s="203">
        <v>595</v>
      </c>
    </row>
    <row r="986" spans="1:5">
      <c r="A986" s="216" t="s">
        <v>2089</v>
      </c>
      <c r="C986" s="217" t="s">
        <v>2090</v>
      </c>
      <c r="D986" s="203">
        <v>595</v>
      </c>
    </row>
    <row r="987" spans="1:5">
      <c r="A987" s="216" t="s">
        <v>2091</v>
      </c>
      <c r="C987" s="217" t="s">
        <v>2092</v>
      </c>
      <c r="D987" s="203">
        <v>647</v>
      </c>
    </row>
    <row r="988" spans="1:5">
      <c r="A988" s="216" t="s">
        <v>2093</v>
      </c>
      <c r="C988" s="217" t="s">
        <v>2094</v>
      </c>
      <c r="D988" s="203">
        <v>647</v>
      </c>
    </row>
    <row r="989" spans="1:5">
      <c r="A989" s="216" t="s">
        <v>2095</v>
      </c>
      <c r="C989" s="217" t="s">
        <v>2096</v>
      </c>
      <c r="D989" s="203">
        <v>734</v>
      </c>
    </row>
    <row r="990" spans="1:5">
      <c r="A990" s="216" t="s">
        <v>2097</v>
      </c>
      <c r="C990" s="217" t="s">
        <v>2098</v>
      </c>
      <c r="D990" s="203">
        <v>734</v>
      </c>
    </row>
    <row r="991" spans="1:5">
      <c r="A991" s="216" t="s">
        <v>2099</v>
      </c>
      <c r="C991" s="217" t="s">
        <v>2100</v>
      </c>
      <c r="D991" s="203">
        <v>807</v>
      </c>
    </row>
    <row r="992" spans="1:5">
      <c r="A992" s="216" t="s">
        <v>2101</v>
      </c>
      <c r="C992" s="217" t="s">
        <v>2102</v>
      </c>
      <c r="D992" s="203">
        <v>807</v>
      </c>
    </row>
    <row r="993" spans="1:4">
      <c r="A993" s="216" t="s">
        <v>2103</v>
      </c>
      <c r="C993" s="217" t="s">
        <v>2104</v>
      </c>
      <c r="D993" s="203">
        <v>799</v>
      </c>
    </row>
    <row r="994" spans="1:4">
      <c r="A994" s="216" t="s">
        <v>2105</v>
      </c>
      <c r="C994" s="217" t="s">
        <v>2106</v>
      </c>
      <c r="D994" s="203">
        <v>799</v>
      </c>
    </row>
    <row r="995" spans="1:4">
      <c r="A995" s="216" t="s">
        <v>2107</v>
      </c>
      <c r="C995" s="217" t="s">
        <v>2108</v>
      </c>
      <c r="D995" s="203">
        <v>880</v>
      </c>
    </row>
    <row r="996" spans="1:4">
      <c r="A996" s="216" t="s">
        <v>2109</v>
      </c>
      <c r="C996" s="217" t="s">
        <v>2110</v>
      </c>
      <c r="D996" s="203">
        <v>880</v>
      </c>
    </row>
    <row r="997" spans="1:4">
      <c r="A997" s="216" t="s">
        <v>2111</v>
      </c>
      <c r="C997" s="217" t="s">
        <v>2112</v>
      </c>
      <c r="D997" s="203">
        <v>877</v>
      </c>
    </row>
    <row r="998" spans="1:4">
      <c r="A998" s="216" t="s">
        <v>2113</v>
      </c>
      <c r="C998" s="217" t="s">
        <v>2114</v>
      </c>
      <c r="D998" s="203">
        <v>877</v>
      </c>
    </row>
    <row r="999" spans="1:4">
      <c r="A999" s="204" t="s">
        <v>2115</v>
      </c>
      <c r="C999" s="205" t="s">
        <v>2116</v>
      </c>
      <c r="D999" s="203">
        <v>1015</v>
      </c>
    </row>
    <row r="1000" spans="1:4">
      <c r="A1000" s="204" t="s">
        <v>2117</v>
      </c>
      <c r="C1000" s="205" t="s">
        <v>2118</v>
      </c>
      <c r="D1000" s="203">
        <v>1015</v>
      </c>
    </row>
    <row r="1001" spans="1:4">
      <c r="A1001" s="204" t="s">
        <v>2119</v>
      </c>
      <c r="C1001" s="205" t="s">
        <v>2120</v>
      </c>
      <c r="D1001" s="203">
        <v>953</v>
      </c>
    </row>
    <row r="1002" spans="1:4">
      <c r="A1002" s="204" t="s">
        <v>2121</v>
      </c>
      <c r="C1002" s="205" t="s">
        <v>2122</v>
      </c>
      <c r="D1002" s="203">
        <v>953</v>
      </c>
    </row>
    <row r="1003" spans="1:4">
      <c r="A1003" s="206" t="s">
        <v>2123</v>
      </c>
      <c r="C1003" s="207" t="s">
        <v>2124</v>
      </c>
      <c r="D1003" s="203">
        <v>1113</v>
      </c>
    </row>
    <row r="1004" spans="1:4">
      <c r="A1004" s="204" t="s">
        <v>2125</v>
      </c>
      <c r="C1004" s="205" t="s">
        <v>2126</v>
      </c>
      <c r="D1004" s="203">
        <v>1113</v>
      </c>
    </row>
    <row r="1005" spans="1:4">
      <c r="A1005" s="204" t="s">
        <v>2127</v>
      </c>
      <c r="C1005" s="205" t="s">
        <v>2128</v>
      </c>
      <c r="D1005" s="203">
        <v>1008</v>
      </c>
    </row>
    <row r="1006" spans="1:4">
      <c r="A1006" s="204" t="s">
        <v>2129</v>
      </c>
      <c r="C1006" s="205" t="s">
        <v>2130</v>
      </c>
      <c r="D1006" s="203">
        <v>1008</v>
      </c>
    </row>
    <row r="1007" spans="1:4">
      <c r="A1007" s="208" t="s">
        <v>2131</v>
      </c>
      <c r="C1007" s="209" t="s">
        <v>2132</v>
      </c>
      <c r="D1007" s="203">
        <v>1160</v>
      </c>
    </row>
    <row r="1008" spans="1:4">
      <c r="A1008" s="208" t="s">
        <v>2133</v>
      </c>
      <c r="C1008" s="205" t="s">
        <v>2134</v>
      </c>
      <c r="D1008" s="203">
        <v>1160</v>
      </c>
    </row>
    <row r="1009" spans="1:4">
      <c r="A1009" s="208" t="s">
        <v>2135</v>
      </c>
      <c r="C1009" s="209" t="s">
        <v>2136</v>
      </c>
      <c r="D1009" s="203">
        <v>1131</v>
      </c>
    </row>
    <row r="1010" spans="1:4">
      <c r="A1010" s="208" t="s">
        <v>2137</v>
      </c>
      <c r="C1010" s="209" t="s">
        <v>2138</v>
      </c>
      <c r="D1010" s="203">
        <v>1131</v>
      </c>
    </row>
    <row r="1011" spans="1:4">
      <c r="A1011" s="204" t="s">
        <v>2139</v>
      </c>
      <c r="C1011" s="235" t="s">
        <v>2140</v>
      </c>
      <c r="D1011" s="203">
        <v>1279</v>
      </c>
    </row>
    <row r="1012" spans="1:4">
      <c r="A1012" s="204" t="s">
        <v>2141</v>
      </c>
      <c r="C1012" s="236" t="s">
        <v>2142</v>
      </c>
      <c r="D1012" s="203">
        <v>1279</v>
      </c>
    </row>
    <row r="1013" spans="1:4">
      <c r="A1013" s="204" t="s">
        <v>2143</v>
      </c>
      <c r="C1013" s="236" t="s">
        <v>2144</v>
      </c>
      <c r="D1013" s="203">
        <v>1250</v>
      </c>
    </row>
    <row r="1014" spans="1:4">
      <c r="A1014" s="204" t="s">
        <v>2145</v>
      </c>
      <c r="C1014" s="236" t="s">
        <v>2146</v>
      </c>
      <c r="D1014" s="203">
        <v>1250</v>
      </c>
    </row>
    <row r="1015" spans="1:4">
      <c r="A1015" s="204" t="s">
        <v>2147</v>
      </c>
      <c r="C1015" s="236" t="s">
        <v>2148</v>
      </c>
      <c r="D1015" s="203">
        <v>1407</v>
      </c>
    </row>
    <row r="1016" spans="1:4">
      <c r="A1016" s="204" t="s">
        <v>2149</v>
      </c>
      <c r="C1016" s="236" t="s">
        <v>2150</v>
      </c>
      <c r="D1016" s="203">
        <v>1407</v>
      </c>
    </row>
    <row r="1017" spans="1:4">
      <c r="A1017" s="204" t="s">
        <v>2151</v>
      </c>
      <c r="C1017" s="236" t="s">
        <v>2152</v>
      </c>
      <c r="D1017" s="203">
        <v>1355</v>
      </c>
    </row>
    <row r="1018" spans="1:4">
      <c r="A1018" s="204" t="s">
        <v>2153</v>
      </c>
      <c r="C1018" s="236" t="s">
        <v>2154</v>
      </c>
      <c r="D1018" s="203">
        <v>1355</v>
      </c>
    </row>
    <row r="1019" spans="1:4">
      <c r="A1019" s="204" t="s">
        <v>2155</v>
      </c>
      <c r="C1019" s="236" t="s">
        <v>2156</v>
      </c>
      <c r="D1019" s="203">
        <v>1555</v>
      </c>
    </row>
    <row r="1020" spans="1:4">
      <c r="A1020" s="208" t="s">
        <v>2157</v>
      </c>
      <c r="C1020" s="237" t="s">
        <v>2158</v>
      </c>
      <c r="D1020" s="203">
        <v>1555</v>
      </c>
    </row>
    <row r="1021" spans="1:4">
      <c r="A1021" s="204" t="s">
        <v>2159</v>
      </c>
      <c r="C1021" s="236" t="s">
        <v>2160</v>
      </c>
      <c r="D1021" s="203">
        <v>1618</v>
      </c>
    </row>
    <row r="1022" spans="1:4">
      <c r="A1022" s="212" t="s">
        <v>2161</v>
      </c>
      <c r="C1022" s="205" t="s">
        <v>2162</v>
      </c>
      <c r="D1022" s="203">
        <v>1618</v>
      </c>
    </row>
    <row r="1023" spans="1:4">
      <c r="A1023" s="212" t="s">
        <v>2163</v>
      </c>
      <c r="C1023" s="205" t="s">
        <v>2164</v>
      </c>
      <c r="D1023" s="203">
        <v>1901</v>
      </c>
    </row>
    <row r="1024" spans="1:4">
      <c r="A1024" s="214" t="s">
        <v>2165</v>
      </c>
      <c r="C1024" s="215" t="s">
        <v>2166</v>
      </c>
      <c r="D1024" s="200">
        <v>1901</v>
      </c>
    </row>
    <row r="1025" spans="1:5" ht="17">
      <c r="A1025" s="152" t="s">
        <v>2167</v>
      </c>
      <c r="B1025" s="152" t="s">
        <v>2167</v>
      </c>
      <c r="C1025" s="149"/>
      <c r="D1025" s="200">
        <v>110</v>
      </c>
    </row>
    <row r="1026" spans="1:5" ht="17">
      <c r="A1026" s="152" t="s">
        <v>2168</v>
      </c>
      <c r="B1026" s="152" t="s">
        <v>2168</v>
      </c>
      <c r="C1026" s="149"/>
      <c r="D1026" s="200">
        <v>120</v>
      </c>
    </row>
    <row r="1027" spans="1:5" ht="17">
      <c r="A1027" s="152" t="s">
        <v>2169</v>
      </c>
      <c r="B1027" s="152" t="s">
        <v>2169</v>
      </c>
      <c r="C1027" s="149"/>
      <c r="D1027" s="150">
        <v>140</v>
      </c>
    </row>
    <row r="1028" spans="1:5" ht="17">
      <c r="A1028" s="152" t="s">
        <v>2170</v>
      </c>
      <c r="B1028" s="152" t="s">
        <v>2170</v>
      </c>
      <c r="C1028" s="149"/>
      <c r="D1028" s="148">
        <v>150</v>
      </c>
    </row>
    <row r="1029" spans="1:5" ht="16">
      <c r="C1029" s="149"/>
      <c r="D1029" s="148"/>
      <c r="E1029" s="218"/>
    </row>
    <row r="1030" spans="1:5" s="81" customFormat="1" ht="17">
      <c r="A1030" s="238" t="s">
        <v>1861</v>
      </c>
      <c r="B1030" s="238" t="s">
        <v>1862</v>
      </c>
      <c r="C1030" s="149" t="s">
        <v>1863</v>
      </c>
      <c r="D1030" s="148">
        <v>113</v>
      </c>
      <c r="E1030" s="218"/>
    </row>
    <row r="1031" spans="1:5" s="81" customFormat="1" ht="17">
      <c r="A1031" s="238" t="s">
        <v>1864</v>
      </c>
      <c r="B1031" s="238" t="s">
        <v>1865</v>
      </c>
      <c r="C1031" s="149" t="s">
        <v>1866</v>
      </c>
      <c r="D1031" s="148">
        <v>120</v>
      </c>
      <c r="E1031" s="218"/>
    </row>
    <row r="1032" spans="1:5" s="81" customFormat="1" ht="18">
      <c r="A1032" s="219" t="s">
        <v>2171</v>
      </c>
      <c r="B1032" s="219" t="s">
        <v>1868</v>
      </c>
      <c r="C1032" s="149" t="s">
        <v>1869</v>
      </c>
      <c r="D1032" s="148">
        <v>138</v>
      </c>
      <c r="E1032" s="218"/>
    </row>
    <row r="1033" spans="1:5" s="81" customFormat="1" ht="18">
      <c r="A1033" s="219" t="s">
        <v>2172</v>
      </c>
      <c r="B1033" s="219" t="s">
        <v>1871</v>
      </c>
      <c r="C1033" s="149" t="s">
        <v>1872</v>
      </c>
      <c r="D1033" s="148">
        <v>152</v>
      </c>
      <c r="E1033" s="218"/>
    </row>
    <row r="1034" spans="1:5" s="81" customFormat="1" ht="18">
      <c r="A1034" s="219" t="s">
        <v>2173</v>
      </c>
      <c r="B1034" s="219" t="s">
        <v>1874</v>
      </c>
      <c r="C1034" s="149" t="s">
        <v>1875</v>
      </c>
      <c r="D1034" s="148">
        <v>163</v>
      </c>
      <c r="E1034" s="218"/>
    </row>
    <row r="1035" spans="1:5" s="81" customFormat="1" ht="18">
      <c r="A1035" s="219" t="s">
        <v>2174</v>
      </c>
      <c r="B1035" s="219" t="s">
        <v>1877</v>
      </c>
      <c r="C1035" s="149" t="s">
        <v>1878</v>
      </c>
      <c r="D1035" s="148">
        <v>178</v>
      </c>
      <c r="E1035" s="218"/>
    </row>
    <row r="1036" spans="1:5" s="81" customFormat="1" ht="17">
      <c r="A1036" s="238" t="s">
        <v>1879</v>
      </c>
      <c r="B1036" s="238" t="s">
        <v>1880</v>
      </c>
      <c r="C1036" s="149" t="s">
        <v>1881</v>
      </c>
      <c r="D1036" s="148">
        <v>115</v>
      </c>
      <c r="E1036" s="218"/>
    </row>
    <row r="1037" spans="1:5" s="81" customFormat="1" ht="17">
      <c r="A1037" s="238" t="s">
        <v>1882</v>
      </c>
      <c r="B1037" s="238" t="s">
        <v>1883</v>
      </c>
      <c r="C1037" s="149" t="s">
        <v>1884</v>
      </c>
      <c r="D1037" s="148">
        <v>125</v>
      </c>
      <c r="E1037" s="218"/>
    </row>
    <row r="1038" spans="1:5" s="81" customFormat="1" ht="18">
      <c r="A1038" s="219" t="s">
        <v>2175</v>
      </c>
      <c r="B1038" s="219" t="s">
        <v>1886</v>
      </c>
      <c r="C1038" s="149" t="s">
        <v>1887</v>
      </c>
      <c r="D1038" s="148">
        <v>143</v>
      </c>
      <c r="E1038" s="218"/>
    </row>
    <row r="1039" spans="1:5" s="81" customFormat="1" ht="18">
      <c r="A1039" s="219" t="s">
        <v>2176</v>
      </c>
      <c r="B1039" s="219" t="s">
        <v>1889</v>
      </c>
      <c r="C1039" s="149" t="s">
        <v>1890</v>
      </c>
      <c r="D1039" s="148">
        <v>155</v>
      </c>
      <c r="E1039" s="218"/>
    </row>
    <row r="1040" spans="1:5" s="81" customFormat="1" ht="18">
      <c r="A1040" s="219" t="s">
        <v>2177</v>
      </c>
      <c r="B1040" s="219" t="s">
        <v>1892</v>
      </c>
      <c r="C1040" s="149" t="s">
        <v>1893</v>
      </c>
      <c r="D1040" s="148">
        <v>172</v>
      </c>
      <c r="E1040" s="218"/>
    </row>
    <row r="1041" spans="1:5" s="81" customFormat="1" ht="18">
      <c r="A1041" s="219" t="s">
        <v>2178</v>
      </c>
      <c r="B1041" s="219" t="s">
        <v>1895</v>
      </c>
      <c r="C1041" s="149" t="s">
        <v>1896</v>
      </c>
      <c r="D1041" s="148">
        <v>187</v>
      </c>
      <c r="E1041" s="218"/>
    </row>
    <row r="1042" spans="1:5" s="81" customFormat="1" ht="16">
      <c r="A1042" s="220"/>
      <c r="C1042" s="221"/>
      <c r="D1042" s="222"/>
    </row>
    <row r="1043" spans="1:5" s="81" customFormat="1" ht="17">
      <c r="A1043" s="239" t="s">
        <v>1898</v>
      </c>
      <c r="C1043" s="149" t="s">
        <v>2179</v>
      </c>
      <c r="D1043" s="223">
        <v>92.0201142857143</v>
      </c>
    </row>
    <row r="1044" spans="1:5" s="81" customFormat="1" ht="17">
      <c r="A1044" s="239" t="s">
        <v>1900</v>
      </c>
      <c r="C1044" s="149" t="s">
        <v>2180</v>
      </c>
      <c r="D1044" s="224">
        <v>106.754114285714</v>
      </c>
    </row>
    <row r="1045" spans="1:5" s="81" customFormat="1" ht="17">
      <c r="A1045" s="220" t="s">
        <v>2181</v>
      </c>
      <c r="C1045" s="149" t="s">
        <v>2182</v>
      </c>
      <c r="D1045" s="224">
        <v>119</v>
      </c>
    </row>
    <row r="1046" spans="1:5" s="81" customFormat="1" ht="17">
      <c r="A1046" s="220" t="s">
        <v>2183</v>
      </c>
      <c r="C1046" s="149" t="s">
        <v>2184</v>
      </c>
      <c r="D1046" s="224">
        <v>131</v>
      </c>
    </row>
    <row r="1047" spans="1:5" s="81" customFormat="1" ht="17">
      <c r="A1047" s="220" t="s">
        <v>2185</v>
      </c>
      <c r="C1047" s="149" t="s">
        <v>2186</v>
      </c>
      <c r="D1047" s="224">
        <v>141.744714285714</v>
      </c>
    </row>
    <row r="1048" spans="1:5" s="81" customFormat="1" ht="17">
      <c r="A1048" s="220" t="s">
        <v>2187</v>
      </c>
      <c r="C1048" s="149" t="s">
        <v>2188</v>
      </c>
      <c r="D1048" s="224">
        <v>168.72474285714301</v>
      </c>
    </row>
    <row r="1049" spans="1:5" s="81" customFormat="1" ht="17">
      <c r="A1049" s="239" t="s">
        <v>1910</v>
      </c>
      <c r="C1049" s="149" t="s">
        <v>2189</v>
      </c>
      <c r="D1049" s="224">
        <v>97.012714285714296</v>
      </c>
    </row>
    <row r="1050" spans="1:5" s="81" customFormat="1" ht="17">
      <c r="A1050" s="239" t="s">
        <v>1912</v>
      </c>
      <c r="C1050" s="149" t="s">
        <v>2190</v>
      </c>
      <c r="D1050" s="224">
        <v>113.38971428571401</v>
      </c>
    </row>
    <row r="1051" spans="1:5" s="81" customFormat="1" ht="17">
      <c r="A1051" s="220" t="s">
        <v>2191</v>
      </c>
      <c r="C1051" s="149" t="s">
        <v>2192</v>
      </c>
      <c r="D1051" s="224">
        <v>129.27760000000001</v>
      </c>
    </row>
    <row r="1052" spans="1:5" s="81" customFormat="1" ht="17">
      <c r="A1052" s="220" t="s">
        <v>2193</v>
      </c>
      <c r="C1052" s="149" t="s">
        <v>2194</v>
      </c>
      <c r="D1052" s="224">
        <v>142</v>
      </c>
    </row>
    <row r="1053" spans="1:5" s="81" customFormat="1" ht="17">
      <c r="A1053" s="220" t="s">
        <v>2195</v>
      </c>
      <c r="C1053" s="149" t="s">
        <v>2196</v>
      </c>
      <c r="D1053" s="224">
        <v>153.87111428571399</v>
      </c>
    </row>
    <row r="1054" spans="1:5" s="81" customFormat="1" ht="17">
      <c r="A1054" s="220" t="s">
        <v>2197</v>
      </c>
      <c r="C1054" s="149" t="s">
        <v>2198</v>
      </c>
      <c r="D1054" s="224">
        <v>183.51174285714299</v>
      </c>
    </row>
    <row r="1055" spans="1:5" s="81" customFormat="1" ht="16">
      <c r="A1055" s="225"/>
      <c r="C1055" s="149"/>
      <c r="D1055" s="224"/>
    </row>
    <row r="1056" spans="1:5" s="81" customFormat="1" ht="17">
      <c r="A1056" s="226" t="s">
        <v>1922</v>
      </c>
      <c r="C1056" s="149" t="s">
        <v>1923</v>
      </c>
      <c r="D1056" s="227">
        <v>135</v>
      </c>
    </row>
    <row r="1057" spans="1:4" s="81" customFormat="1" ht="17">
      <c r="A1057" s="226" t="s">
        <v>1924</v>
      </c>
      <c r="C1057" s="149" t="s">
        <v>1925</v>
      </c>
      <c r="D1057" s="227">
        <v>148</v>
      </c>
    </row>
    <row r="1058" spans="1:4" s="81" customFormat="1" ht="17">
      <c r="A1058" s="228" t="s">
        <v>1926</v>
      </c>
      <c r="C1058" s="149" t="s">
        <v>1927</v>
      </c>
      <c r="D1058" s="227">
        <v>163</v>
      </c>
    </row>
    <row r="1059" spans="1:4" s="81" customFormat="1" ht="17">
      <c r="A1059" s="228" t="s">
        <v>1928</v>
      </c>
      <c r="C1059" s="149" t="s">
        <v>1929</v>
      </c>
      <c r="D1059" s="227">
        <v>171</v>
      </c>
    </row>
    <row r="1060" spans="1:4" s="81" customFormat="1" ht="17">
      <c r="A1060" s="228" t="s">
        <v>1930</v>
      </c>
      <c r="C1060" s="149" t="s">
        <v>1931</v>
      </c>
      <c r="D1060" s="227">
        <v>185</v>
      </c>
    </row>
    <row r="1061" spans="1:4" s="81" customFormat="1" ht="17">
      <c r="A1061" s="228" t="s">
        <v>1932</v>
      </c>
      <c r="C1061" s="149" t="s">
        <v>1933</v>
      </c>
      <c r="D1061" s="227">
        <v>208</v>
      </c>
    </row>
    <row r="1062" spans="1:4" s="81" customFormat="1" ht="17">
      <c r="A1062" s="228" t="s">
        <v>1934</v>
      </c>
      <c r="C1062" s="149" t="s">
        <v>1935</v>
      </c>
      <c r="D1062" s="227">
        <v>139</v>
      </c>
    </row>
    <row r="1063" spans="1:4" s="81" customFormat="1" ht="17">
      <c r="A1063" s="228" t="s">
        <v>1936</v>
      </c>
      <c r="C1063" s="149" t="s">
        <v>1937</v>
      </c>
      <c r="D1063" s="227">
        <v>154</v>
      </c>
    </row>
    <row r="1064" spans="1:4" s="81" customFormat="1" ht="17">
      <c r="A1064" s="228" t="s">
        <v>1938</v>
      </c>
      <c r="C1064" s="149" t="s">
        <v>1939</v>
      </c>
      <c r="D1064" s="227">
        <v>170</v>
      </c>
    </row>
    <row r="1065" spans="1:4" s="81" customFormat="1" ht="17">
      <c r="A1065" s="226" t="s">
        <v>1940</v>
      </c>
      <c r="C1065" s="149" t="s">
        <v>1941</v>
      </c>
      <c r="D1065" s="227">
        <v>182</v>
      </c>
    </row>
    <row r="1066" spans="1:4" s="81" customFormat="1" ht="17">
      <c r="A1066" s="226" t="s">
        <v>1942</v>
      </c>
      <c r="C1066" s="149" t="s">
        <v>1943</v>
      </c>
      <c r="D1066" s="227">
        <v>194</v>
      </c>
    </row>
    <row r="1067" spans="1:4" s="81" customFormat="1" ht="17">
      <c r="A1067" s="226" t="s">
        <v>1944</v>
      </c>
      <c r="C1067" s="149" t="s">
        <v>1945</v>
      </c>
      <c r="D1067" s="227">
        <v>222</v>
      </c>
    </row>
    <row r="1068" spans="1:4" s="81" customFormat="1" ht="16">
      <c r="A1068" s="226"/>
      <c r="C1068" s="149"/>
      <c r="D1068" s="227"/>
    </row>
    <row r="1069" spans="1:4" s="81" customFormat="1" ht="17">
      <c r="A1069" s="228" t="s">
        <v>2199</v>
      </c>
      <c r="C1069" s="149" t="s">
        <v>2200</v>
      </c>
      <c r="D1069" s="224">
        <v>124.834685714286</v>
      </c>
    </row>
    <row r="1070" spans="1:4" s="81" customFormat="1" ht="17">
      <c r="A1070" s="228" t="s">
        <v>2201</v>
      </c>
      <c r="C1070" s="149" t="s">
        <v>2202</v>
      </c>
      <c r="D1070" s="224">
        <v>137.49562857142899</v>
      </c>
    </row>
    <row r="1071" spans="1:4" s="81" customFormat="1" ht="17">
      <c r="A1071" s="228" t="s">
        <v>2203</v>
      </c>
      <c r="C1071" s="149" t="s">
        <v>2204</v>
      </c>
      <c r="D1071" s="224">
        <v>151.60422857142899</v>
      </c>
    </row>
    <row r="1072" spans="1:4" s="81" customFormat="1" ht="17">
      <c r="A1072" s="228" t="s">
        <v>2205</v>
      </c>
      <c r="C1072" s="149" t="s">
        <v>2206</v>
      </c>
      <c r="D1072" s="224">
        <v>162</v>
      </c>
    </row>
    <row r="1073" spans="1:4" s="81" customFormat="1" ht="17">
      <c r="A1073" s="228" t="s">
        <v>2207</v>
      </c>
      <c r="C1073" s="149" t="s">
        <v>2208</v>
      </c>
      <c r="D1073" s="224">
        <v>174.377571428571</v>
      </c>
    </row>
    <row r="1074" spans="1:4" s="81" customFormat="1" ht="17">
      <c r="A1074" s="228" t="s">
        <v>2209</v>
      </c>
      <c r="C1074" s="149" t="s">
        <v>2210</v>
      </c>
      <c r="D1074" s="224">
        <v>200.8064</v>
      </c>
    </row>
    <row r="1075" spans="1:4" s="81" customFormat="1" ht="17">
      <c r="A1075" s="228" t="s">
        <v>2211</v>
      </c>
      <c r="C1075" s="149" t="s">
        <v>2212</v>
      </c>
      <c r="D1075" s="224">
        <v>129.783371428571</v>
      </c>
    </row>
    <row r="1076" spans="1:4" s="81" customFormat="1" ht="17">
      <c r="A1076" s="228" t="s">
        <v>2213</v>
      </c>
      <c r="C1076" s="149" t="s">
        <v>2214</v>
      </c>
      <c r="D1076" s="224">
        <v>144.14182857142899</v>
      </c>
    </row>
    <row r="1077" spans="1:4" s="81" customFormat="1" ht="17">
      <c r="A1077" s="228" t="s">
        <v>2215</v>
      </c>
      <c r="C1077" s="149" t="s">
        <v>2216</v>
      </c>
      <c r="D1077" s="224">
        <v>158.91822857142901</v>
      </c>
    </row>
    <row r="1078" spans="1:4" s="81" customFormat="1" ht="17">
      <c r="A1078" s="228" t="s">
        <v>2217</v>
      </c>
      <c r="C1078" s="149" t="s">
        <v>2218</v>
      </c>
      <c r="D1078" s="224">
        <v>174</v>
      </c>
    </row>
    <row r="1079" spans="1:4" s="81" customFormat="1" ht="17">
      <c r="A1079" s="228" t="s">
        <v>2219</v>
      </c>
      <c r="C1079" s="149" t="s">
        <v>2220</v>
      </c>
      <c r="D1079" s="224">
        <v>186.67357142857099</v>
      </c>
    </row>
    <row r="1080" spans="1:4" s="81" customFormat="1" ht="17">
      <c r="A1080" s="228" t="s">
        <v>2221</v>
      </c>
      <c r="C1080" s="149" t="s">
        <v>2222</v>
      </c>
      <c r="D1080" s="224">
        <v>215.4238</v>
      </c>
    </row>
    <row r="1081" spans="1:4" s="81" customFormat="1">
      <c r="A1081" s="225"/>
      <c r="D1081" s="224"/>
    </row>
    <row r="1082" spans="1:4" s="81" customFormat="1" ht="16">
      <c r="A1082" s="240" t="s">
        <v>2223</v>
      </c>
      <c r="D1082" s="229" t="s">
        <v>2224</v>
      </c>
    </row>
    <row r="1083" spans="1:4" s="81" customFormat="1" ht="16">
      <c r="A1083" s="240" t="s">
        <v>2225</v>
      </c>
      <c r="D1083" s="229" t="s">
        <v>2224</v>
      </c>
    </row>
    <row r="1084" spans="1:4" s="81" customFormat="1" ht="16">
      <c r="A1084" s="240" t="s">
        <v>2226</v>
      </c>
      <c r="D1084" s="229" t="s">
        <v>2224</v>
      </c>
    </row>
    <row r="1085" spans="1:4" s="81" customFormat="1" ht="16">
      <c r="A1085" s="240" t="s">
        <v>2227</v>
      </c>
      <c r="D1085" s="229" t="s">
        <v>2224</v>
      </c>
    </row>
    <row r="1086" spans="1:4" s="81" customFormat="1" ht="16">
      <c r="A1086" s="240" t="s">
        <v>2228</v>
      </c>
      <c r="D1086" s="229" t="s">
        <v>2224</v>
      </c>
    </row>
    <row r="1087" spans="1:4" s="81" customFormat="1" ht="16">
      <c r="A1087" s="240" t="s">
        <v>2229</v>
      </c>
      <c r="D1087" s="229" t="s">
        <v>2224</v>
      </c>
    </row>
    <row r="1088" spans="1:4" s="81" customFormat="1">
      <c r="A1088" s="225"/>
      <c r="D1088" s="229"/>
    </row>
    <row r="1089" spans="1:4" s="81" customFormat="1" ht="16">
      <c r="A1089" s="240" t="s">
        <v>2230</v>
      </c>
      <c r="D1089" s="229" t="s">
        <v>2224</v>
      </c>
    </row>
    <row r="1090" spans="1:4" s="81" customFormat="1" ht="16">
      <c r="A1090" s="240" t="s">
        <v>2231</v>
      </c>
      <c r="D1090" s="229" t="s">
        <v>2224</v>
      </c>
    </row>
    <row r="1091" spans="1:4" s="81" customFormat="1" ht="16">
      <c r="A1091" s="240" t="s">
        <v>2232</v>
      </c>
      <c r="D1091" s="229" t="s">
        <v>2224</v>
      </c>
    </row>
    <row r="1092" spans="1:4" s="81" customFormat="1" ht="16">
      <c r="A1092" s="240" t="s">
        <v>2233</v>
      </c>
      <c r="D1092" s="229" t="s">
        <v>2224</v>
      </c>
    </row>
    <row r="1093" spans="1:4" s="81" customFormat="1" ht="16">
      <c r="A1093" s="240" t="s">
        <v>2234</v>
      </c>
      <c r="D1093" s="229" t="s">
        <v>2224</v>
      </c>
    </row>
    <row r="1094" spans="1:4" s="81" customFormat="1" ht="16">
      <c r="A1094" s="240" t="s">
        <v>2235</v>
      </c>
      <c r="D1094" s="229" t="s">
        <v>2224</v>
      </c>
    </row>
  </sheetData>
  <mergeCells count="2">
    <mergeCell ref="C906:C909"/>
    <mergeCell ref="C910:C913"/>
  </mergeCells>
  <phoneticPr fontId="46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306"/>
  <sheetViews>
    <sheetView zoomScale="161" zoomScaleNormal="100" workbookViewId="0">
      <pane ySplit="2" topLeftCell="A264" activePane="bottomLeft" state="frozen"/>
      <selection pane="bottomLeft" activeCell="J2" sqref="J2"/>
    </sheetView>
  </sheetViews>
  <sheetFormatPr baseColWidth="10" defaultColWidth="8.6640625" defaultRowHeight="14"/>
  <cols>
    <col min="1" max="1" width="26.1640625" style="460" bestFit="1" customWidth="1"/>
    <col min="2" max="2" width="18.6640625" style="427" customWidth="1"/>
    <col min="3" max="3" width="19.1640625" style="427" customWidth="1"/>
    <col min="4" max="4" width="20.6640625" style="427" customWidth="1"/>
    <col min="5" max="5" width="31.6640625" style="385" customWidth="1"/>
    <col min="6" max="6" width="12" style="460" customWidth="1"/>
    <col min="7" max="7" width="8.83203125" style="524" bestFit="1" customWidth="1"/>
    <col min="8" max="8" width="0.83203125" style="524" customWidth="1"/>
    <col min="9" max="9" width="8.6640625" style="524" customWidth="1"/>
    <col min="10" max="16384" width="8.6640625" style="427"/>
  </cols>
  <sheetData>
    <row r="1" spans="1:10">
      <c r="G1" s="515"/>
      <c r="H1" s="515"/>
      <c r="I1" s="527">
        <v>0.38</v>
      </c>
    </row>
    <row r="2" spans="1:10" ht="43.5" customHeight="1">
      <c r="A2" s="426" t="s">
        <v>2236</v>
      </c>
      <c r="B2" s="426" t="s">
        <v>2405</v>
      </c>
      <c r="C2" s="426" t="s">
        <v>3874</v>
      </c>
      <c r="D2" s="373" t="s">
        <v>2406</v>
      </c>
      <c r="E2" s="373" t="s">
        <v>2407</v>
      </c>
      <c r="F2" s="426" t="s">
        <v>2408</v>
      </c>
      <c r="G2" s="516" t="s">
        <v>4077</v>
      </c>
      <c r="H2" s="517"/>
      <c r="I2" s="492" t="s">
        <v>4078</v>
      </c>
      <c r="J2" s="427" t="s">
        <v>4085</v>
      </c>
    </row>
    <row r="3" spans="1:10" ht="15">
      <c r="A3" s="654" t="s">
        <v>2411</v>
      </c>
      <c r="B3" s="620" t="s">
        <v>2412</v>
      </c>
      <c r="C3" s="429" t="s">
        <v>2414</v>
      </c>
      <c r="D3" s="375">
        <v>22027020002389</v>
      </c>
      <c r="E3" s="616" t="s">
        <v>2415</v>
      </c>
      <c r="F3" s="430">
        <v>25.2</v>
      </c>
      <c r="G3" s="521">
        <v>16697</v>
      </c>
      <c r="H3" s="519"/>
      <c r="I3" s="537">
        <v>6345</v>
      </c>
    </row>
    <row r="4" spans="1:10" ht="15">
      <c r="A4" s="661"/>
      <c r="B4" s="620"/>
      <c r="C4" s="429" t="s">
        <v>2417</v>
      </c>
      <c r="D4" s="375">
        <v>22027020002392</v>
      </c>
      <c r="E4" s="629"/>
      <c r="F4" s="430">
        <v>28</v>
      </c>
      <c r="G4" s="521">
        <v>17205</v>
      </c>
      <c r="H4" s="519"/>
      <c r="I4" s="537">
        <v>6538</v>
      </c>
    </row>
    <row r="5" spans="1:10" ht="15">
      <c r="A5" s="661"/>
      <c r="B5" s="620"/>
      <c r="C5" s="429" t="s">
        <v>2419</v>
      </c>
      <c r="D5" s="375">
        <v>22027020002305</v>
      </c>
      <c r="E5" s="629"/>
      <c r="F5" s="430">
        <v>33.5</v>
      </c>
      <c r="G5" s="521">
        <v>19112</v>
      </c>
      <c r="H5" s="519"/>
      <c r="I5" s="537">
        <v>7263</v>
      </c>
    </row>
    <row r="6" spans="1:10" ht="15">
      <c r="A6" s="661"/>
      <c r="B6" s="620"/>
      <c r="C6" s="429" t="s">
        <v>2421</v>
      </c>
      <c r="D6" s="375">
        <v>22027020002397</v>
      </c>
      <c r="E6" s="629"/>
      <c r="F6" s="430">
        <v>40</v>
      </c>
      <c r="G6" s="521">
        <v>22349</v>
      </c>
      <c r="H6" s="519"/>
      <c r="I6" s="537">
        <v>8493</v>
      </c>
    </row>
    <row r="7" spans="1:10" ht="15">
      <c r="A7" s="661"/>
      <c r="B7" s="620"/>
      <c r="C7" s="429" t="s">
        <v>2423</v>
      </c>
      <c r="D7" s="375">
        <v>22027020002391</v>
      </c>
      <c r="E7" s="629"/>
      <c r="F7" s="430">
        <v>45</v>
      </c>
      <c r="G7" s="521">
        <v>23326</v>
      </c>
      <c r="H7" s="519"/>
      <c r="I7" s="537">
        <v>8864</v>
      </c>
    </row>
    <row r="8" spans="1:10" ht="15">
      <c r="A8" s="661"/>
      <c r="B8" s="620"/>
      <c r="C8" s="429" t="s">
        <v>2425</v>
      </c>
      <c r="D8" s="375">
        <v>22027020002265</v>
      </c>
      <c r="E8" s="629"/>
      <c r="F8" s="430">
        <v>50</v>
      </c>
      <c r="G8" s="521">
        <v>27951</v>
      </c>
      <c r="H8" s="519"/>
      <c r="I8" s="537">
        <v>10622</v>
      </c>
    </row>
    <row r="9" spans="1:10" ht="15">
      <c r="A9" s="661"/>
      <c r="B9" s="620"/>
      <c r="C9" s="429" t="s">
        <v>2427</v>
      </c>
      <c r="D9" s="375">
        <v>22027020002347</v>
      </c>
      <c r="E9" s="629"/>
      <c r="F9" s="430">
        <v>56</v>
      </c>
      <c r="G9" s="521">
        <v>28670</v>
      </c>
      <c r="H9" s="519"/>
      <c r="I9" s="537">
        <v>10895</v>
      </c>
    </row>
    <row r="10" spans="1:10" ht="15">
      <c r="A10" s="661"/>
      <c r="B10" s="620"/>
      <c r="C10" s="429" t="s">
        <v>2429</v>
      </c>
      <c r="D10" s="375">
        <v>22027020002346</v>
      </c>
      <c r="E10" s="629"/>
      <c r="F10" s="430">
        <v>61.5</v>
      </c>
      <c r="G10" s="521">
        <v>30606</v>
      </c>
      <c r="H10" s="519"/>
      <c r="I10" s="537">
        <v>11631</v>
      </c>
    </row>
    <row r="11" spans="1:10" ht="15">
      <c r="A11" s="661"/>
      <c r="B11" s="620"/>
      <c r="C11" s="429" t="s">
        <v>2431</v>
      </c>
      <c r="D11" s="375">
        <v>22027020002345</v>
      </c>
      <c r="E11" s="629"/>
      <c r="F11" s="430">
        <v>67</v>
      </c>
      <c r="G11" s="521">
        <v>34426</v>
      </c>
      <c r="H11" s="519"/>
      <c r="I11" s="537">
        <v>13082</v>
      </c>
    </row>
    <row r="12" spans="1:10" ht="15">
      <c r="A12" s="661"/>
      <c r="B12" s="620"/>
      <c r="C12" s="429" t="s">
        <v>2433</v>
      </c>
      <c r="D12" s="375">
        <v>22027020002365</v>
      </c>
      <c r="E12" s="629"/>
      <c r="F12" s="430">
        <v>73</v>
      </c>
      <c r="G12" s="521">
        <v>36025</v>
      </c>
      <c r="H12" s="519"/>
      <c r="I12" s="537">
        <v>13690</v>
      </c>
    </row>
    <row r="13" spans="1:10" ht="15">
      <c r="A13" s="661"/>
      <c r="B13" s="620"/>
      <c r="C13" s="429" t="s">
        <v>2435</v>
      </c>
      <c r="D13" s="375">
        <v>22027020002286</v>
      </c>
      <c r="E13" s="629"/>
      <c r="F13" s="430">
        <v>78.5</v>
      </c>
      <c r="G13" s="521">
        <v>37698</v>
      </c>
      <c r="H13" s="519"/>
      <c r="I13" s="537">
        <v>14326</v>
      </c>
    </row>
    <row r="14" spans="1:10" ht="15">
      <c r="A14" s="661"/>
      <c r="B14" s="620"/>
      <c r="C14" s="429" t="s">
        <v>2437</v>
      </c>
      <c r="D14" s="375">
        <v>22027020002285</v>
      </c>
      <c r="E14" s="629"/>
      <c r="F14" s="430">
        <v>85</v>
      </c>
      <c r="G14" s="521">
        <v>40661</v>
      </c>
      <c r="H14" s="519"/>
      <c r="I14" s="537">
        <v>15452</v>
      </c>
    </row>
    <row r="15" spans="1:10" ht="15">
      <c r="A15" s="661"/>
      <c r="B15" s="620"/>
      <c r="C15" s="429" t="s">
        <v>2439</v>
      </c>
      <c r="D15" s="375">
        <v>22027020002393</v>
      </c>
      <c r="E15" s="629"/>
      <c r="F15" s="430">
        <v>90</v>
      </c>
      <c r="G15" s="521">
        <v>40981</v>
      </c>
      <c r="H15" s="519"/>
      <c r="I15" s="537">
        <v>15573</v>
      </c>
    </row>
    <row r="16" spans="1:10" ht="15">
      <c r="A16" s="661"/>
      <c r="B16" s="620"/>
      <c r="C16" s="429" t="s">
        <v>2441</v>
      </c>
      <c r="D16" s="375">
        <v>22027020002390</v>
      </c>
      <c r="E16" s="629"/>
      <c r="F16" s="430">
        <v>95</v>
      </c>
      <c r="G16" s="521">
        <v>42397</v>
      </c>
      <c r="H16" s="519"/>
      <c r="I16" s="537">
        <v>16111</v>
      </c>
    </row>
    <row r="17" spans="1:9" ht="15">
      <c r="A17" s="661"/>
      <c r="B17" s="620"/>
      <c r="C17" s="429" t="s">
        <v>2443</v>
      </c>
      <c r="D17" s="375">
        <v>22027020002386</v>
      </c>
      <c r="E17" s="629"/>
      <c r="F17" s="430">
        <v>101</v>
      </c>
      <c r="G17" s="521">
        <v>42900</v>
      </c>
      <c r="H17" s="519"/>
      <c r="I17" s="537">
        <v>16302</v>
      </c>
    </row>
    <row r="18" spans="1:9" ht="15">
      <c r="A18" s="661"/>
      <c r="B18" s="620"/>
      <c r="C18" s="429" t="s">
        <v>2445</v>
      </c>
      <c r="D18" s="375">
        <v>22027020002425</v>
      </c>
      <c r="E18" s="629"/>
      <c r="F18" s="430">
        <v>106</v>
      </c>
      <c r="G18" s="521">
        <v>46269</v>
      </c>
      <c r="H18" s="519"/>
      <c r="I18" s="537">
        <v>17583</v>
      </c>
    </row>
    <row r="19" spans="1:9" ht="15">
      <c r="A19" s="661"/>
      <c r="B19" s="620"/>
      <c r="C19" s="429" t="s">
        <v>2447</v>
      </c>
      <c r="D19" s="375">
        <v>22027020002325</v>
      </c>
      <c r="E19" s="629"/>
      <c r="F19" s="430">
        <v>112</v>
      </c>
      <c r="G19" s="521">
        <v>47325</v>
      </c>
      <c r="H19" s="519"/>
      <c r="I19" s="537">
        <v>17984</v>
      </c>
    </row>
    <row r="20" spans="1:9" ht="15">
      <c r="A20" s="650" t="s">
        <v>2448</v>
      </c>
      <c r="B20" s="620" t="s">
        <v>2412</v>
      </c>
      <c r="C20" s="429" t="s">
        <v>2450</v>
      </c>
      <c r="D20" s="375">
        <v>22027020002647</v>
      </c>
      <c r="E20" s="616" t="s">
        <v>3851</v>
      </c>
      <c r="F20" s="430">
        <v>25.2</v>
      </c>
      <c r="G20" s="521">
        <v>13739</v>
      </c>
      <c r="H20" s="519"/>
      <c r="I20" s="537">
        <v>5221</v>
      </c>
    </row>
    <row r="21" spans="1:9" ht="15">
      <c r="A21" s="662"/>
      <c r="B21" s="620"/>
      <c r="C21" s="429" t="s">
        <v>2452</v>
      </c>
      <c r="D21" s="375">
        <v>22027020002633</v>
      </c>
      <c r="E21" s="616"/>
      <c r="F21" s="430">
        <v>28</v>
      </c>
      <c r="G21" s="521">
        <v>13996</v>
      </c>
      <c r="H21" s="519"/>
      <c r="I21" s="537">
        <v>5319</v>
      </c>
    </row>
    <row r="22" spans="1:9" ht="15">
      <c r="A22" s="662"/>
      <c r="B22" s="620"/>
      <c r="C22" s="429" t="s">
        <v>2454</v>
      </c>
      <c r="D22" s="375">
        <v>22027020002646</v>
      </c>
      <c r="E22" s="616"/>
      <c r="F22" s="430">
        <v>33.5</v>
      </c>
      <c r="G22" s="521">
        <v>16074</v>
      </c>
      <c r="H22" s="519"/>
      <c r="I22" s="537">
        <v>6109</v>
      </c>
    </row>
    <row r="23" spans="1:9" ht="15">
      <c r="A23" s="662"/>
      <c r="B23" s="620"/>
      <c r="C23" s="429" t="s">
        <v>2456</v>
      </c>
      <c r="D23" s="375">
        <v>22027020002637</v>
      </c>
      <c r="E23" s="616"/>
      <c r="F23" s="430">
        <v>40</v>
      </c>
      <c r="G23" s="521">
        <v>18798</v>
      </c>
      <c r="H23" s="519"/>
      <c r="I23" s="537">
        <v>7144</v>
      </c>
    </row>
    <row r="24" spans="1:9" ht="15">
      <c r="A24" s="662"/>
      <c r="B24" s="620"/>
      <c r="C24" s="429" t="s">
        <v>2458</v>
      </c>
      <c r="D24" s="375">
        <v>22027020002623</v>
      </c>
      <c r="E24" s="616"/>
      <c r="F24" s="430">
        <v>45</v>
      </c>
      <c r="G24" s="521">
        <v>19095</v>
      </c>
      <c r="H24" s="519"/>
      <c r="I24" s="537">
        <v>7257</v>
      </c>
    </row>
    <row r="25" spans="1:9" ht="15">
      <c r="A25" s="662"/>
      <c r="B25" s="620"/>
      <c r="C25" s="429" t="s">
        <v>2460</v>
      </c>
      <c r="D25" s="375">
        <v>22027020002645</v>
      </c>
      <c r="E25" s="616"/>
      <c r="F25" s="430">
        <v>50</v>
      </c>
      <c r="G25" s="521">
        <v>21270</v>
      </c>
      <c r="H25" s="519"/>
      <c r="I25" s="537">
        <v>8083</v>
      </c>
    </row>
    <row r="26" spans="1:9" ht="15">
      <c r="A26" s="662"/>
      <c r="B26" s="620"/>
      <c r="C26" s="429" t="s">
        <v>2462</v>
      </c>
      <c r="D26" s="375">
        <v>22027020002629</v>
      </c>
      <c r="E26" s="616"/>
      <c r="F26" s="430">
        <v>56</v>
      </c>
      <c r="G26" s="521">
        <v>22538</v>
      </c>
      <c r="H26" s="519"/>
      <c r="I26" s="537">
        <v>8565</v>
      </c>
    </row>
    <row r="27" spans="1:9" ht="15">
      <c r="A27" s="662"/>
      <c r="B27" s="620"/>
      <c r="C27" s="429" t="s">
        <v>2464</v>
      </c>
      <c r="D27" s="375">
        <v>22027020002630</v>
      </c>
      <c r="E27" s="616"/>
      <c r="F27" s="430">
        <v>61.5</v>
      </c>
      <c r="G27" s="521">
        <v>24565</v>
      </c>
      <c r="H27" s="519"/>
      <c r="I27" s="537">
        <v>9335</v>
      </c>
    </row>
    <row r="28" spans="1:9" ht="15">
      <c r="A28" s="662"/>
      <c r="B28" s="620"/>
      <c r="C28" s="429" t="s">
        <v>2466</v>
      </c>
      <c r="D28" s="375">
        <v>22027020002627</v>
      </c>
      <c r="E28" s="616"/>
      <c r="F28" s="430">
        <v>67</v>
      </c>
      <c r="G28" s="521">
        <v>26906</v>
      </c>
      <c r="H28" s="519"/>
      <c r="I28" s="537">
        <v>10225</v>
      </c>
    </row>
    <row r="29" spans="1:9" ht="15">
      <c r="A29" s="662"/>
      <c r="B29" s="620"/>
      <c r="C29" s="429" t="s">
        <v>2468</v>
      </c>
      <c r="D29" s="375">
        <v>22027020002608</v>
      </c>
      <c r="E29" s="616"/>
      <c r="F29" s="430">
        <v>73</v>
      </c>
      <c r="G29" s="521">
        <v>33781</v>
      </c>
      <c r="H29" s="519"/>
      <c r="I29" s="537">
        <v>12837</v>
      </c>
    </row>
    <row r="30" spans="1:9" ht="15">
      <c r="A30" s="662"/>
      <c r="B30" s="620"/>
      <c r="C30" s="429" t="s">
        <v>2470</v>
      </c>
      <c r="D30" s="375">
        <v>22027020002609</v>
      </c>
      <c r="E30" s="616"/>
      <c r="F30" s="430">
        <v>78.5</v>
      </c>
      <c r="G30" s="521">
        <v>34055</v>
      </c>
      <c r="H30" s="519"/>
      <c r="I30" s="537">
        <v>12941</v>
      </c>
    </row>
    <row r="31" spans="1:9" ht="15">
      <c r="A31" s="662"/>
      <c r="B31" s="620"/>
      <c r="C31" s="429" t="s">
        <v>2472</v>
      </c>
      <c r="D31" s="375">
        <v>22027020002619</v>
      </c>
      <c r="E31" s="616"/>
      <c r="F31" s="430">
        <v>85</v>
      </c>
      <c r="G31" s="521">
        <v>35163</v>
      </c>
      <c r="H31" s="519"/>
      <c r="I31" s="537">
        <v>13362</v>
      </c>
    </row>
    <row r="32" spans="1:9" ht="15">
      <c r="A32" s="662"/>
      <c r="B32" s="620"/>
      <c r="C32" s="429" t="s">
        <v>2474</v>
      </c>
      <c r="D32" s="375">
        <v>22027020002618</v>
      </c>
      <c r="E32" s="616"/>
      <c r="F32" s="430">
        <v>90</v>
      </c>
      <c r="G32" s="521">
        <v>37407</v>
      </c>
      <c r="H32" s="519"/>
      <c r="I32" s="537">
        <v>14215</v>
      </c>
    </row>
    <row r="33" spans="1:9" ht="15">
      <c r="A33" s="662"/>
      <c r="B33" s="620"/>
      <c r="C33" s="429" t="s">
        <v>2476</v>
      </c>
      <c r="D33" s="375">
        <v>22027020002626</v>
      </c>
      <c r="E33" s="616"/>
      <c r="F33" s="430">
        <v>95</v>
      </c>
      <c r="G33" s="521">
        <v>38012</v>
      </c>
      <c r="H33" s="519"/>
      <c r="I33" s="537">
        <v>14445</v>
      </c>
    </row>
    <row r="34" spans="1:9" ht="15">
      <c r="A34" s="662"/>
      <c r="B34" s="620"/>
      <c r="C34" s="429" t="s">
        <v>2478</v>
      </c>
      <c r="D34" s="375">
        <v>22027020002611</v>
      </c>
      <c r="E34" s="616"/>
      <c r="F34" s="430">
        <v>101</v>
      </c>
      <c r="G34" s="521">
        <v>39714</v>
      </c>
      <c r="H34" s="519"/>
      <c r="I34" s="537">
        <v>15092</v>
      </c>
    </row>
    <row r="35" spans="1:9" ht="15">
      <c r="A35" s="662"/>
      <c r="B35" s="620"/>
      <c r="C35" s="429" t="s">
        <v>2480</v>
      </c>
      <c r="D35" s="375">
        <v>22027020002616</v>
      </c>
      <c r="E35" s="616"/>
      <c r="F35" s="430">
        <v>106</v>
      </c>
      <c r="G35" s="521">
        <v>41347</v>
      </c>
      <c r="H35" s="519"/>
      <c r="I35" s="537">
        <v>15712</v>
      </c>
    </row>
    <row r="36" spans="1:9" ht="15">
      <c r="A36" s="662"/>
      <c r="B36" s="620"/>
      <c r="C36" s="429" t="s">
        <v>2482</v>
      </c>
      <c r="D36" s="375">
        <v>22027020002625</v>
      </c>
      <c r="E36" s="616"/>
      <c r="F36" s="430">
        <v>112</v>
      </c>
      <c r="G36" s="521">
        <v>42574</v>
      </c>
      <c r="H36" s="519"/>
      <c r="I36" s="537">
        <v>16179</v>
      </c>
    </row>
    <row r="37" spans="1:9">
      <c r="A37" s="662"/>
      <c r="B37" s="620"/>
      <c r="C37" s="431" t="s">
        <v>2484</v>
      </c>
      <c r="D37" s="375">
        <v>22027020002614</v>
      </c>
      <c r="E37" s="616"/>
      <c r="F37" s="430">
        <v>117</v>
      </c>
      <c r="G37" s="521">
        <v>43105</v>
      </c>
      <c r="H37" s="519"/>
      <c r="I37" s="537">
        <v>16380</v>
      </c>
    </row>
    <row r="38" spans="1:9">
      <c r="A38" s="647" t="s">
        <v>2485</v>
      </c>
      <c r="B38" s="617" t="s">
        <v>2412</v>
      </c>
      <c r="C38" s="431" t="s">
        <v>2486</v>
      </c>
      <c r="D38" s="375">
        <v>22027020003247</v>
      </c>
      <c r="E38" s="616" t="s">
        <v>2487</v>
      </c>
      <c r="F38" s="430">
        <v>22.4</v>
      </c>
      <c r="G38" s="521">
        <v>7823</v>
      </c>
      <c r="H38" s="519"/>
      <c r="I38" s="537">
        <v>2973</v>
      </c>
    </row>
    <row r="39" spans="1:9">
      <c r="A39" s="648"/>
      <c r="B39" s="618"/>
      <c r="C39" s="431" t="s">
        <v>2488</v>
      </c>
      <c r="D39" s="375">
        <v>22027020003245</v>
      </c>
      <c r="E39" s="616"/>
      <c r="F39" s="430">
        <v>28</v>
      </c>
      <c r="G39" s="521">
        <v>8394</v>
      </c>
      <c r="H39" s="519"/>
      <c r="I39" s="537">
        <v>3190</v>
      </c>
    </row>
    <row r="40" spans="1:9">
      <c r="A40" s="648"/>
      <c r="B40" s="618"/>
      <c r="C40" s="431" t="s">
        <v>2489</v>
      </c>
      <c r="D40" s="375">
        <v>22027020003225</v>
      </c>
      <c r="E40" s="616"/>
      <c r="F40" s="430">
        <v>33.5</v>
      </c>
      <c r="G40" s="521">
        <v>8674</v>
      </c>
      <c r="H40" s="519"/>
      <c r="I40" s="537">
        <v>3297</v>
      </c>
    </row>
    <row r="41" spans="1:9">
      <c r="A41" s="648"/>
      <c r="B41" s="618"/>
      <c r="C41" s="431" t="s">
        <v>2490</v>
      </c>
      <c r="D41" s="375">
        <v>22027020003246</v>
      </c>
      <c r="E41" s="616"/>
      <c r="F41" s="430">
        <v>40</v>
      </c>
      <c r="G41" s="521">
        <v>11398</v>
      </c>
      <c r="H41" s="519"/>
      <c r="I41" s="537">
        <v>4332</v>
      </c>
    </row>
    <row r="42" spans="1:9">
      <c r="A42" s="648"/>
      <c r="B42" s="618"/>
      <c r="C42" s="431" t="s">
        <v>2491</v>
      </c>
      <c r="D42" s="375">
        <v>22027020003165</v>
      </c>
      <c r="E42" s="616"/>
      <c r="F42" s="430">
        <v>45</v>
      </c>
      <c r="G42" s="521">
        <v>11438</v>
      </c>
      <c r="H42" s="519"/>
      <c r="I42" s="537">
        <v>4347</v>
      </c>
    </row>
    <row r="43" spans="1:9">
      <c r="A43" s="648"/>
      <c r="B43" s="618"/>
      <c r="C43" s="431" t="s">
        <v>2492</v>
      </c>
      <c r="D43" s="375">
        <v>22027020003188</v>
      </c>
      <c r="E43" s="616"/>
      <c r="F43" s="430">
        <v>50</v>
      </c>
      <c r="G43" s="521">
        <v>15058</v>
      </c>
      <c r="H43" s="519"/>
      <c r="I43" s="537">
        <v>5723</v>
      </c>
    </row>
    <row r="44" spans="1:9">
      <c r="A44" s="648"/>
      <c r="B44" s="618"/>
      <c r="C44" s="431" t="s">
        <v>2493</v>
      </c>
      <c r="D44" s="375">
        <v>22027020003205</v>
      </c>
      <c r="E44" s="616"/>
      <c r="F44" s="430">
        <v>56</v>
      </c>
      <c r="G44" s="521">
        <v>15086</v>
      </c>
      <c r="H44" s="519"/>
      <c r="I44" s="537">
        <v>5733</v>
      </c>
    </row>
    <row r="45" spans="1:9">
      <c r="A45" s="648"/>
      <c r="B45" s="618"/>
      <c r="C45" s="431" t="s">
        <v>2494</v>
      </c>
      <c r="D45" s="375">
        <v>22027020003189</v>
      </c>
      <c r="E45" s="616"/>
      <c r="F45" s="430">
        <v>61.5</v>
      </c>
      <c r="G45" s="521">
        <v>16731</v>
      </c>
      <c r="H45" s="519"/>
      <c r="I45" s="537">
        <v>6358</v>
      </c>
    </row>
    <row r="46" spans="1:9">
      <c r="A46" s="648"/>
      <c r="B46" s="618"/>
      <c r="C46" s="431" t="s">
        <v>2495</v>
      </c>
      <c r="D46" s="375">
        <v>22027020003190</v>
      </c>
      <c r="E46" s="616"/>
      <c r="F46" s="430">
        <v>67</v>
      </c>
      <c r="G46" s="521">
        <v>18267</v>
      </c>
      <c r="H46" s="519"/>
      <c r="I46" s="537">
        <v>6942</v>
      </c>
    </row>
    <row r="47" spans="1:9">
      <c r="A47" s="648"/>
      <c r="B47" s="618"/>
      <c r="C47" s="431" t="s">
        <v>2496</v>
      </c>
      <c r="D47" s="375">
        <v>22027020003185</v>
      </c>
      <c r="E47" s="616"/>
      <c r="F47" s="430">
        <v>73</v>
      </c>
      <c r="G47" s="521">
        <v>18472</v>
      </c>
      <c r="H47" s="519"/>
      <c r="I47" s="537">
        <v>7020</v>
      </c>
    </row>
    <row r="48" spans="1:9">
      <c r="A48" s="648"/>
      <c r="B48" s="618"/>
      <c r="C48" s="431" t="s">
        <v>2497</v>
      </c>
      <c r="D48" s="375">
        <v>22027020003187</v>
      </c>
      <c r="E48" s="616"/>
      <c r="F48" s="430">
        <v>78.5</v>
      </c>
      <c r="G48" s="521">
        <v>19135</v>
      </c>
      <c r="H48" s="519"/>
      <c r="I48" s="537">
        <v>7272</v>
      </c>
    </row>
    <row r="49" spans="1:10" ht="14" customHeight="1">
      <c r="A49" s="649"/>
      <c r="B49" s="619"/>
      <c r="C49" s="431" t="s">
        <v>2498</v>
      </c>
      <c r="D49" s="375">
        <v>22027020003186</v>
      </c>
      <c r="E49" s="616"/>
      <c r="F49" s="430">
        <v>85</v>
      </c>
      <c r="G49" s="521">
        <v>20277</v>
      </c>
      <c r="H49" s="519"/>
      <c r="I49" s="537">
        <v>7706</v>
      </c>
    </row>
    <row r="50" spans="1:10">
      <c r="A50" s="654" t="s">
        <v>2499</v>
      </c>
      <c r="B50" s="620" t="s">
        <v>2412</v>
      </c>
      <c r="C50" s="431" t="s">
        <v>2501</v>
      </c>
      <c r="D50" s="375">
        <v>22027020002412</v>
      </c>
      <c r="E50" s="612" t="s">
        <v>2502</v>
      </c>
      <c r="F50" s="430">
        <v>25.2</v>
      </c>
      <c r="G50" s="521">
        <v>14438</v>
      </c>
      <c r="H50" s="519"/>
      <c r="I50" s="537">
        <v>5487</v>
      </c>
    </row>
    <row r="51" spans="1:10">
      <c r="A51" s="661"/>
      <c r="B51" s="620"/>
      <c r="C51" s="431" t="s">
        <v>2504</v>
      </c>
      <c r="D51" s="375">
        <v>22027020002413</v>
      </c>
      <c r="E51" s="614"/>
      <c r="F51" s="430">
        <v>28</v>
      </c>
      <c r="G51" s="521">
        <v>15355</v>
      </c>
      <c r="H51" s="519"/>
      <c r="I51" s="537">
        <v>5835</v>
      </c>
    </row>
    <row r="52" spans="1:10">
      <c r="A52" s="661"/>
      <c r="B52" s="620"/>
      <c r="C52" s="431" t="s">
        <v>2506</v>
      </c>
      <c r="D52" s="375">
        <v>22027020002410</v>
      </c>
      <c r="E52" s="614"/>
      <c r="F52" s="430">
        <v>33.5</v>
      </c>
      <c r="G52" s="521">
        <v>16998</v>
      </c>
      <c r="H52" s="519"/>
      <c r="I52" s="537">
        <v>6460</v>
      </c>
    </row>
    <row r="53" spans="1:10">
      <c r="A53" s="661"/>
      <c r="B53" s="620"/>
      <c r="C53" s="431" t="s">
        <v>2508</v>
      </c>
      <c r="D53" s="375">
        <v>22027020002407</v>
      </c>
      <c r="E53" s="614"/>
      <c r="F53" s="430">
        <v>40</v>
      </c>
      <c r="G53" s="521">
        <v>18582</v>
      </c>
      <c r="H53" s="519"/>
      <c r="I53" s="537">
        <v>7062</v>
      </c>
    </row>
    <row r="54" spans="1:10">
      <c r="A54" s="661"/>
      <c r="B54" s="620"/>
      <c r="C54" s="431" t="s">
        <v>2510</v>
      </c>
      <c r="D54" s="375">
        <v>22027020002408</v>
      </c>
      <c r="E54" s="614"/>
      <c r="F54" s="430">
        <v>45</v>
      </c>
      <c r="G54" s="521">
        <v>20082</v>
      </c>
      <c r="H54" s="519"/>
      <c r="I54" s="537">
        <v>7632</v>
      </c>
    </row>
    <row r="55" spans="1:10">
      <c r="A55" s="661"/>
      <c r="B55" s="620"/>
      <c r="C55" s="431" t="s">
        <v>2512</v>
      </c>
      <c r="D55" s="375">
        <v>22027020002411</v>
      </c>
      <c r="E55" s="614"/>
      <c r="F55" s="430">
        <v>50</v>
      </c>
      <c r="G55" s="521">
        <v>21831</v>
      </c>
      <c r="H55" s="519"/>
      <c r="I55" s="537">
        <v>8296</v>
      </c>
    </row>
    <row r="56" spans="1:10">
      <c r="A56" s="661"/>
      <c r="B56" s="620"/>
      <c r="C56" s="431" t="s">
        <v>2514</v>
      </c>
      <c r="D56" s="375">
        <v>22027020002406</v>
      </c>
      <c r="E56" s="614"/>
      <c r="F56" s="430">
        <v>56</v>
      </c>
      <c r="G56" s="521">
        <v>24513</v>
      </c>
      <c r="H56" s="519"/>
      <c r="I56" s="537">
        <v>9315</v>
      </c>
    </row>
    <row r="57" spans="1:10">
      <c r="A57" s="661"/>
      <c r="B57" s="620"/>
      <c r="C57" s="431" t="s">
        <v>2516</v>
      </c>
      <c r="D57" s="375">
        <v>22027020002405</v>
      </c>
      <c r="E57" s="614"/>
      <c r="F57" s="430">
        <v>61.5</v>
      </c>
      <c r="G57" s="521">
        <v>26045</v>
      </c>
      <c r="H57" s="519"/>
      <c r="I57" s="537">
        <v>9898</v>
      </c>
    </row>
    <row r="58" spans="1:10">
      <c r="A58" s="661"/>
      <c r="B58" s="620"/>
      <c r="C58" s="431" t="s">
        <v>2518</v>
      </c>
      <c r="D58" s="375">
        <v>22027020002409</v>
      </c>
      <c r="E58" s="615"/>
      <c r="F58" s="430">
        <v>67</v>
      </c>
      <c r="G58" s="521">
        <v>28446</v>
      </c>
      <c r="H58" s="519"/>
      <c r="I58" s="537">
        <v>10810</v>
      </c>
    </row>
    <row r="59" spans="1:10" ht="15">
      <c r="A59" s="650" t="s">
        <v>3852</v>
      </c>
      <c r="B59" s="620" t="s">
        <v>2412</v>
      </c>
      <c r="C59" s="429" t="s">
        <v>2521</v>
      </c>
      <c r="D59" s="375">
        <v>22027020002998</v>
      </c>
      <c r="E59" s="616" t="s">
        <v>3853</v>
      </c>
      <c r="F59" s="430">
        <v>25.2</v>
      </c>
      <c r="G59" s="521">
        <v>12265</v>
      </c>
      <c r="H59" s="519"/>
      <c r="I59" s="537">
        <v>4661</v>
      </c>
      <c r="J59" s="590"/>
    </row>
    <row r="60" spans="1:10" ht="15">
      <c r="A60" s="662"/>
      <c r="B60" s="620"/>
      <c r="C60" s="429" t="s">
        <v>2523</v>
      </c>
      <c r="D60" s="375">
        <v>22027020003000</v>
      </c>
      <c r="E60" s="629"/>
      <c r="F60" s="430">
        <v>28</v>
      </c>
      <c r="G60" s="521">
        <v>12556</v>
      </c>
      <c r="H60" s="519"/>
      <c r="I60" s="537">
        <v>4772</v>
      </c>
      <c r="J60" s="590"/>
    </row>
    <row r="61" spans="1:10" ht="15">
      <c r="A61" s="662"/>
      <c r="B61" s="620"/>
      <c r="C61" s="429" t="s">
        <v>2525</v>
      </c>
      <c r="D61" s="375">
        <v>22027020002999</v>
      </c>
      <c r="E61" s="629"/>
      <c r="F61" s="430">
        <v>33.5</v>
      </c>
      <c r="G61" s="521">
        <v>14348</v>
      </c>
      <c r="H61" s="519"/>
      <c r="I61" s="537">
        <v>5453</v>
      </c>
      <c r="J61" s="590"/>
    </row>
    <row r="62" spans="1:10" ht="15">
      <c r="A62" s="662"/>
      <c r="B62" s="620"/>
      <c r="C62" s="429" t="s">
        <v>2527</v>
      </c>
      <c r="D62" s="375">
        <v>22027020002588</v>
      </c>
      <c r="E62" s="629"/>
      <c r="F62" s="430">
        <v>40</v>
      </c>
      <c r="G62" s="521">
        <v>16632</v>
      </c>
      <c r="H62" s="519"/>
      <c r="I62" s="537">
        <v>6321</v>
      </c>
      <c r="J62" s="590"/>
    </row>
    <row r="63" spans="1:10" ht="15">
      <c r="A63" s="662"/>
      <c r="B63" s="620"/>
      <c r="C63" s="429" t="s">
        <v>2529</v>
      </c>
      <c r="D63" s="375">
        <v>22027020002589</v>
      </c>
      <c r="E63" s="629"/>
      <c r="F63" s="430">
        <v>45</v>
      </c>
      <c r="G63" s="521">
        <v>17464</v>
      </c>
      <c r="H63" s="519"/>
      <c r="I63" s="537">
        <v>6637</v>
      </c>
      <c r="J63" s="590"/>
    </row>
    <row r="64" spans="1:10" ht="15">
      <c r="A64" s="662"/>
      <c r="B64" s="620"/>
      <c r="C64" s="429" t="s">
        <v>2531</v>
      </c>
      <c r="D64" s="375">
        <v>22027020002587</v>
      </c>
      <c r="E64" s="629"/>
      <c r="F64" s="430">
        <v>50</v>
      </c>
      <c r="G64" s="521">
        <v>18985</v>
      </c>
      <c r="H64" s="519"/>
      <c r="I64" s="537">
        <v>7215</v>
      </c>
      <c r="J64" s="590"/>
    </row>
    <row r="65" spans="1:10" ht="15">
      <c r="A65" s="662"/>
      <c r="B65" s="620"/>
      <c r="C65" s="429" t="s">
        <v>2533</v>
      </c>
      <c r="D65" s="375">
        <v>22027020002585</v>
      </c>
      <c r="E65" s="629"/>
      <c r="F65" s="430">
        <v>56</v>
      </c>
      <c r="G65" s="521">
        <v>20421</v>
      </c>
      <c r="H65" s="519"/>
      <c r="I65" s="537">
        <v>7760</v>
      </c>
      <c r="J65" s="590"/>
    </row>
    <row r="66" spans="1:10" ht="15">
      <c r="A66" s="662"/>
      <c r="B66" s="620"/>
      <c r="C66" s="429" t="s">
        <v>2535</v>
      </c>
      <c r="D66" s="375">
        <v>22027020002586</v>
      </c>
      <c r="E66" s="629"/>
      <c r="F66" s="430">
        <v>61.5</v>
      </c>
      <c r="G66" s="521">
        <v>21927</v>
      </c>
      <c r="H66" s="519"/>
      <c r="I66" s="537">
        <v>8333</v>
      </c>
      <c r="J66" s="590"/>
    </row>
    <row r="67" spans="1:10" ht="15">
      <c r="A67" s="662"/>
      <c r="B67" s="620"/>
      <c r="C67" s="429" t="s">
        <v>2537</v>
      </c>
      <c r="D67" s="375">
        <v>22027020002590</v>
      </c>
      <c r="E67" s="629"/>
      <c r="F67" s="430">
        <v>67</v>
      </c>
      <c r="G67" s="521">
        <v>24015</v>
      </c>
      <c r="H67" s="519"/>
      <c r="I67" s="537">
        <v>9126</v>
      </c>
      <c r="J67" s="590"/>
    </row>
    <row r="68" spans="1:10" ht="15">
      <c r="A68" s="647" t="s">
        <v>3864</v>
      </c>
      <c r="B68" s="617" t="s">
        <v>2539</v>
      </c>
      <c r="C68" s="429" t="s">
        <v>2541</v>
      </c>
      <c r="D68" s="375" t="s">
        <v>2542</v>
      </c>
      <c r="E68" s="611" t="s">
        <v>3920</v>
      </c>
      <c r="F68" s="430">
        <v>12</v>
      </c>
      <c r="G68" s="521">
        <v>6759</v>
      </c>
      <c r="H68" s="519"/>
      <c r="I68" s="537">
        <v>2569</v>
      </c>
    </row>
    <row r="69" spans="1:10" ht="15">
      <c r="A69" s="648"/>
      <c r="B69" s="618"/>
      <c r="C69" s="429" t="s">
        <v>2545</v>
      </c>
      <c r="D69" s="375" t="s">
        <v>2546</v>
      </c>
      <c r="E69" s="612"/>
      <c r="F69" s="430">
        <v>14</v>
      </c>
      <c r="G69" s="521">
        <v>7373</v>
      </c>
      <c r="H69" s="519"/>
      <c r="I69" s="537">
        <v>2802</v>
      </c>
    </row>
    <row r="70" spans="1:10" ht="15">
      <c r="A70" s="648"/>
      <c r="B70" s="618"/>
      <c r="C70" s="429" t="s">
        <v>2548</v>
      </c>
      <c r="D70" s="375">
        <v>22027020002667</v>
      </c>
      <c r="E70" s="612"/>
      <c r="F70" s="430">
        <v>16</v>
      </c>
      <c r="G70" s="521">
        <v>8297</v>
      </c>
      <c r="H70" s="519"/>
      <c r="I70" s="537">
        <v>3153</v>
      </c>
    </row>
    <row r="71" spans="1:10" ht="15">
      <c r="A71" s="648"/>
      <c r="B71" s="618"/>
      <c r="C71" s="432" t="s">
        <v>2549</v>
      </c>
      <c r="D71" s="433">
        <v>22027020002667</v>
      </c>
      <c r="E71" s="612"/>
      <c r="F71" s="430">
        <v>17</v>
      </c>
      <c r="G71" s="521">
        <v>8495</v>
      </c>
      <c r="H71" s="519"/>
      <c r="I71" s="537">
        <v>3229</v>
      </c>
    </row>
    <row r="72" spans="1:10" ht="15">
      <c r="A72" s="648"/>
      <c r="B72" s="617" t="s">
        <v>2284</v>
      </c>
      <c r="C72" s="429" t="s">
        <v>2551</v>
      </c>
      <c r="D72" s="375">
        <v>22027020002867</v>
      </c>
      <c r="E72" s="612"/>
      <c r="F72" s="430">
        <v>8</v>
      </c>
      <c r="G72" s="521">
        <v>4024</v>
      </c>
      <c r="H72" s="519"/>
      <c r="I72" s="537">
        <v>1530</v>
      </c>
    </row>
    <row r="73" spans="1:10" ht="15">
      <c r="A73" s="648"/>
      <c r="B73" s="618"/>
      <c r="C73" s="429" t="s">
        <v>2553</v>
      </c>
      <c r="D73" s="375" t="s">
        <v>2554</v>
      </c>
      <c r="E73" s="612"/>
      <c r="F73" s="430">
        <v>10</v>
      </c>
      <c r="G73" s="521">
        <v>4685</v>
      </c>
      <c r="H73" s="519"/>
      <c r="I73" s="537">
        <v>1781</v>
      </c>
    </row>
    <row r="74" spans="1:10" ht="15">
      <c r="A74" s="648"/>
      <c r="B74" s="618"/>
      <c r="C74" s="429" t="s">
        <v>2556</v>
      </c>
      <c r="D74" s="375">
        <v>22027020002869</v>
      </c>
      <c r="E74" s="612"/>
      <c r="F74" s="430">
        <v>12</v>
      </c>
      <c r="G74" s="521">
        <v>5629</v>
      </c>
      <c r="H74" s="519"/>
      <c r="I74" s="537">
        <v>2140</v>
      </c>
    </row>
    <row r="75" spans="1:10" ht="15">
      <c r="A75" s="648"/>
      <c r="B75" s="618"/>
      <c r="C75" s="429" t="s">
        <v>2558</v>
      </c>
      <c r="D75" s="375" t="s">
        <v>2559</v>
      </c>
      <c r="E75" s="612"/>
      <c r="F75" s="430">
        <v>14</v>
      </c>
      <c r="G75" s="521">
        <v>6142</v>
      </c>
      <c r="H75" s="519"/>
      <c r="I75" s="537">
        <v>2334</v>
      </c>
    </row>
    <row r="76" spans="1:10" ht="15">
      <c r="A76" s="648"/>
      <c r="B76" s="618"/>
      <c r="C76" s="429" t="s">
        <v>2561</v>
      </c>
      <c r="D76" s="375">
        <v>22027020002665</v>
      </c>
      <c r="E76" s="612"/>
      <c r="F76" s="430">
        <v>16</v>
      </c>
      <c r="G76" s="521">
        <v>6915</v>
      </c>
      <c r="H76" s="519"/>
      <c r="I76" s="537">
        <v>2628</v>
      </c>
    </row>
    <row r="77" spans="1:10" ht="15">
      <c r="A77" s="649"/>
      <c r="B77" s="619"/>
      <c r="C77" s="429" t="s">
        <v>2562</v>
      </c>
      <c r="D77" s="375">
        <v>22027020002665</v>
      </c>
      <c r="E77" s="613"/>
      <c r="F77" s="430">
        <v>18</v>
      </c>
      <c r="G77" s="521">
        <v>7532</v>
      </c>
      <c r="H77" s="519"/>
      <c r="I77" s="537">
        <v>2863</v>
      </c>
    </row>
    <row r="78" spans="1:10">
      <c r="A78" s="650" t="s">
        <v>2564</v>
      </c>
      <c r="B78" s="620" t="s">
        <v>2539</v>
      </c>
      <c r="C78" s="431" t="s">
        <v>2566</v>
      </c>
      <c r="D78" s="375">
        <v>22027020002530</v>
      </c>
      <c r="E78" s="611" t="s">
        <v>2567</v>
      </c>
      <c r="F78" s="428">
        <v>12</v>
      </c>
      <c r="G78" s="521">
        <v>6693</v>
      </c>
      <c r="H78" s="519"/>
      <c r="I78" s="537">
        <v>2544</v>
      </c>
    </row>
    <row r="79" spans="1:10">
      <c r="A79" s="650"/>
      <c r="B79" s="620"/>
      <c r="C79" s="431" t="s">
        <v>2569</v>
      </c>
      <c r="D79" s="375">
        <v>22027020002529</v>
      </c>
      <c r="E79" s="614"/>
      <c r="F79" s="428">
        <v>14</v>
      </c>
      <c r="G79" s="521">
        <v>7304</v>
      </c>
      <c r="H79" s="519"/>
      <c r="I79" s="537">
        <v>2776</v>
      </c>
    </row>
    <row r="80" spans="1:10">
      <c r="A80" s="650"/>
      <c r="B80" s="620"/>
      <c r="C80" s="431" t="s">
        <v>2571</v>
      </c>
      <c r="D80" s="375">
        <v>22027020002526</v>
      </c>
      <c r="E80" s="614"/>
      <c r="F80" s="428">
        <v>16</v>
      </c>
      <c r="G80" s="521">
        <v>8217</v>
      </c>
      <c r="H80" s="519"/>
      <c r="I80" s="537">
        <v>3123</v>
      </c>
    </row>
    <row r="81" spans="1:9">
      <c r="A81" s="650"/>
      <c r="B81" s="620"/>
      <c r="C81" s="431" t="s">
        <v>2573</v>
      </c>
      <c r="D81" s="375">
        <v>22027020002245</v>
      </c>
      <c r="E81" s="614"/>
      <c r="F81" s="428">
        <v>18</v>
      </c>
      <c r="G81" s="521">
        <v>8737</v>
      </c>
      <c r="H81" s="519"/>
      <c r="I81" s="537">
        <v>3321</v>
      </c>
    </row>
    <row r="82" spans="1:9">
      <c r="A82" s="650"/>
      <c r="B82" s="621" t="s">
        <v>2284</v>
      </c>
      <c r="C82" s="431" t="s">
        <v>2575</v>
      </c>
      <c r="D82" s="375">
        <v>22027020002527</v>
      </c>
      <c r="E82" s="614"/>
      <c r="F82" s="428">
        <v>8</v>
      </c>
      <c r="G82" s="521">
        <v>4346</v>
      </c>
      <c r="H82" s="519"/>
      <c r="I82" s="537">
        <v>1652</v>
      </c>
    </row>
    <row r="83" spans="1:9">
      <c r="A83" s="650"/>
      <c r="B83" s="621"/>
      <c r="C83" s="431" t="s">
        <v>2577</v>
      </c>
      <c r="D83" s="375">
        <v>22027020002246</v>
      </c>
      <c r="E83" s="614"/>
      <c r="F83" s="428">
        <v>10</v>
      </c>
      <c r="G83" s="521">
        <v>4460</v>
      </c>
      <c r="H83" s="519"/>
      <c r="I83" s="537">
        <v>1695</v>
      </c>
    </row>
    <row r="84" spans="1:9">
      <c r="A84" s="650"/>
      <c r="B84" s="621"/>
      <c r="C84" s="431" t="s">
        <v>2579</v>
      </c>
      <c r="D84" s="375">
        <v>22027020002528</v>
      </c>
      <c r="E84" s="614"/>
      <c r="F84" s="428">
        <v>12</v>
      </c>
      <c r="G84" s="521">
        <v>5522</v>
      </c>
      <c r="H84" s="519"/>
      <c r="I84" s="537">
        <v>2099</v>
      </c>
    </row>
    <row r="85" spans="1:9">
      <c r="A85" s="650"/>
      <c r="B85" s="621"/>
      <c r="C85" s="431" t="s">
        <v>2581</v>
      </c>
      <c r="D85" s="375">
        <v>22027020002531</v>
      </c>
      <c r="E85" s="614"/>
      <c r="F85" s="428">
        <v>14</v>
      </c>
      <c r="G85" s="521">
        <v>5973</v>
      </c>
      <c r="H85" s="519"/>
      <c r="I85" s="537">
        <v>2270</v>
      </c>
    </row>
    <row r="86" spans="1:9">
      <c r="A86" s="650"/>
      <c r="B86" s="621"/>
      <c r="C86" s="431" t="s">
        <v>2583</v>
      </c>
      <c r="D86" s="375">
        <v>22027020002525</v>
      </c>
      <c r="E86" s="614"/>
      <c r="F86" s="428">
        <v>16</v>
      </c>
      <c r="G86" s="521">
        <v>6413</v>
      </c>
      <c r="H86" s="519"/>
      <c r="I86" s="537">
        <v>2437</v>
      </c>
    </row>
    <row r="87" spans="1:9">
      <c r="A87" s="650"/>
      <c r="B87" s="621"/>
      <c r="C87" s="431" t="s">
        <v>2585</v>
      </c>
      <c r="D87" s="375">
        <v>22027020002225</v>
      </c>
      <c r="E87" s="615"/>
      <c r="F87" s="428">
        <v>18</v>
      </c>
      <c r="G87" s="521">
        <v>6710</v>
      </c>
      <c r="H87" s="519"/>
      <c r="I87" s="537">
        <v>2550</v>
      </c>
    </row>
    <row r="88" spans="1:9">
      <c r="A88" s="617" t="s">
        <v>3855</v>
      </c>
      <c r="B88" s="617" t="s">
        <v>2587</v>
      </c>
      <c r="C88" s="434" t="s">
        <v>2589</v>
      </c>
      <c r="D88" s="374">
        <v>22026012000977</v>
      </c>
      <c r="E88" s="616" t="s">
        <v>3921</v>
      </c>
      <c r="F88" s="428">
        <v>1.5</v>
      </c>
      <c r="G88" s="521">
        <v>988</v>
      </c>
      <c r="H88" s="519"/>
      <c r="I88" s="537">
        <v>376</v>
      </c>
    </row>
    <row r="89" spans="1:9">
      <c r="A89" s="618"/>
      <c r="B89" s="618"/>
      <c r="C89" s="434" t="s">
        <v>2591</v>
      </c>
      <c r="D89" s="374">
        <v>22026012000995</v>
      </c>
      <c r="E89" s="616"/>
      <c r="F89" s="428">
        <v>2.2000000000000002</v>
      </c>
      <c r="G89" s="521">
        <v>1091</v>
      </c>
      <c r="H89" s="519"/>
      <c r="I89" s="537">
        <v>415</v>
      </c>
    </row>
    <row r="90" spans="1:9" ht="15">
      <c r="A90" s="618"/>
      <c r="B90" s="618"/>
      <c r="C90" s="434" t="s">
        <v>2593</v>
      </c>
      <c r="D90" s="374">
        <v>22026012000994</v>
      </c>
      <c r="E90" s="616"/>
      <c r="F90" s="428" t="s">
        <v>2594</v>
      </c>
      <c r="G90" s="521">
        <v>1108</v>
      </c>
      <c r="H90" s="519"/>
      <c r="I90" s="537">
        <v>422</v>
      </c>
    </row>
    <row r="91" spans="1:9">
      <c r="A91" s="618"/>
      <c r="B91" s="618"/>
      <c r="C91" s="434" t="s">
        <v>2596</v>
      </c>
      <c r="D91" s="374">
        <v>22026012000996</v>
      </c>
      <c r="E91" s="616"/>
      <c r="F91" s="428">
        <v>3.6</v>
      </c>
      <c r="G91" s="521">
        <v>1188</v>
      </c>
      <c r="H91" s="519"/>
      <c r="I91" s="537">
        <v>452</v>
      </c>
    </row>
    <row r="92" spans="1:9">
      <c r="A92" s="618"/>
      <c r="B92" s="618"/>
      <c r="C92" s="434" t="s">
        <v>2598</v>
      </c>
      <c r="D92" s="374">
        <v>22026012000980</v>
      </c>
      <c r="E92" s="616"/>
      <c r="F92" s="428">
        <v>4.5</v>
      </c>
      <c r="G92" s="521">
        <v>1302</v>
      </c>
      <c r="H92" s="519"/>
      <c r="I92" s="537">
        <v>495</v>
      </c>
    </row>
    <row r="93" spans="1:9">
      <c r="A93" s="618"/>
      <c r="B93" s="618"/>
      <c r="C93" s="434" t="s">
        <v>2600</v>
      </c>
      <c r="D93" s="374">
        <v>22026012000998</v>
      </c>
      <c r="E93" s="616"/>
      <c r="F93" s="428">
        <v>5.6</v>
      </c>
      <c r="G93" s="521">
        <v>1359</v>
      </c>
      <c r="H93" s="519"/>
      <c r="I93" s="537">
        <v>517</v>
      </c>
    </row>
    <row r="94" spans="1:9">
      <c r="A94" s="618"/>
      <c r="B94" s="618"/>
      <c r="C94" s="434" t="s">
        <v>2602</v>
      </c>
      <c r="D94" s="374">
        <v>22026012000979</v>
      </c>
      <c r="E94" s="616"/>
      <c r="F94" s="428">
        <v>6.3</v>
      </c>
      <c r="G94" s="521">
        <v>1417</v>
      </c>
      <c r="H94" s="519"/>
      <c r="I94" s="537">
        <v>539</v>
      </c>
    </row>
    <row r="95" spans="1:9" ht="32">
      <c r="A95" s="618"/>
      <c r="B95" s="618"/>
      <c r="C95" s="434" t="s">
        <v>3903</v>
      </c>
      <c r="D95" s="374">
        <v>22012900003270</v>
      </c>
      <c r="E95" s="374" t="s">
        <v>3922</v>
      </c>
      <c r="F95" s="428"/>
      <c r="G95" s="521">
        <v>229</v>
      </c>
      <c r="H95" s="519"/>
      <c r="I95" s="537">
        <v>88</v>
      </c>
    </row>
    <row r="96" spans="1:9" ht="26" customHeight="1">
      <c r="A96" s="619"/>
      <c r="B96" s="619"/>
      <c r="C96" s="434" t="s">
        <v>2607</v>
      </c>
      <c r="D96" s="420" t="s">
        <v>2608</v>
      </c>
      <c r="E96" s="374" t="s">
        <v>3923</v>
      </c>
      <c r="F96" s="428"/>
      <c r="G96" s="521">
        <v>280</v>
      </c>
      <c r="H96" s="519"/>
      <c r="I96" s="537">
        <v>107</v>
      </c>
    </row>
    <row r="97" spans="1:10">
      <c r="A97" s="651" t="s">
        <v>2610</v>
      </c>
      <c r="B97" s="617" t="s">
        <v>2587</v>
      </c>
      <c r="C97" s="434" t="s">
        <v>2612</v>
      </c>
      <c r="D97" s="374">
        <v>22026012001122</v>
      </c>
      <c r="E97" s="608" t="s">
        <v>3924</v>
      </c>
      <c r="F97" s="507">
        <v>2.8</v>
      </c>
      <c r="G97" s="521">
        <v>1194</v>
      </c>
      <c r="H97" s="519"/>
      <c r="I97" s="537">
        <v>454</v>
      </c>
      <c r="J97" s="590">
        <f>I97+$I$109</f>
        <v>585</v>
      </c>
    </row>
    <row r="98" spans="1:10">
      <c r="A98" s="652"/>
      <c r="B98" s="618"/>
      <c r="C98" s="434" t="s">
        <v>2614</v>
      </c>
      <c r="D98" s="374">
        <v>22026012001130</v>
      </c>
      <c r="E98" s="609"/>
      <c r="F98" s="507">
        <v>3.6</v>
      </c>
      <c r="G98" s="521">
        <v>1217</v>
      </c>
      <c r="H98" s="519"/>
      <c r="I98" s="537">
        <v>463</v>
      </c>
      <c r="J98" s="590">
        <f t="shared" ref="J98:J108" si="0">I98+$I$109</f>
        <v>594</v>
      </c>
    </row>
    <row r="99" spans="1:10">
      <c r="A99" s="652"/>
      <c r="B99" s="618"/>
      <c r="C99" s="434" t="s">
        <v>2616</v>
      </c>
      <c r="D99" s="374">
        <v>22026012001124</v>
      </c>
      <c r="E99" s="609"/>
      <c r="F99" s="507">
        <v>4.5</v>
      </c>
      <c r="G99" s="521">
        <v>1382</v>
      </c>
      <c r="H99" s="519"/>
      <c r="I99" s="537">
        <v>526</v>
      </c>
      <c r="J99" s="590">
        <f t="shared" si="0"/>
        <v>657</v>
      </c>
    </row>
    <row r="100" spans="1:10">
      <c r="A100" s="652"/>
      <c r="B100" s="618"/>
      <c r="C100" s="434" t="s">
        <v>2618</v>
      </c>
      <c r="D100" s="374">
        <v>22026012001115</v>
      </c>
      <c r="E100" s="609"/>
      <c r="F100" s="507">
        <v>5.6</v>
      </c>
      <c r="G100" s="521">
        <v>1439</v>
      </c>
      <c r="H100" s="519"/>
      <c r="I100" s="537">
        <v>547</v>
      </c>
      <c r="J100" s="590">
        <f t="shared" si="0"/>
        <v>678</v>
      </c>
    </row>
    <row r="101" spans="1:10">
      <c r="A101" s="652"/>
      <c r="B101" s="618"/>
      <c r="C101" s="434" t="s">
        <v>2620</v>
      </c>
      <c r="D101" s="374">
        <v>22026012001132</v>
      </c>
      <c r="E101" s="609"/>
      <c r="F101" s="507">
        <v>7.1</v>
      </c>
      <c r="G101" s="521">
        <v>1873</v>
      </c>
      <c r="H101" s="519"/>
      <c r="I101" s="537">
        <v>712</v>
      </c>
      <c r="J101" s="590">
        <f t="shared" si="0"/>
        <v>843</v>
      </c>
    </row>
    <row r="102" spans="1:10">
      <c r="A102" s="652"/>
      <c r="B102" s="618"/>
      <c r="C102" s="434" t="s">
        <v>2622</v>
      </c>
      <c r="D102" s="374">
        <v>22026012001129</v>
      </c>
      <c r="E102" s="609"/>
      <c r="F102" s="507">
        <v>8</v>
      </c>
      <c r="G102" s="521">
        <v>1930</v>
      </c>
      <c r="H102" s="519"/>
      <c r="I102" s="537">
        <v>734</v>
      </c>
      <c r="J102" s="590">
        <f t="shared" si="0"/>
        <v>865</v>
      </c>
    </row>
    <row r="103" spans="1:10">
      <c r="A103" s="652"/>
      <c r="B103" s="618"/>
      <c r="C103" s="434" t="s">
        <v>2624</v>
      </c>
      <c r="D103" s="374">
        <v>22026012001123</v>
      </c>
      <c r="E103" s="609"/>
      <c r="F103" s="507">
        <v>9</v>
      </c>
      <c r="G103" s="521">
        <v>1970</v>
      </c>
      <c r="H103" s="519"/>
      <c r="I103" s="537">
        <v>749</v>
      </c>
      <c r="J103" s="590">
        <f t="shared" si="0"/>
        <v>880</v>
      </c>
    </row>
    <row r="104" spans="1:10">
      <c r="A104" s="652"/>
      <c r="B104" s="618"/>
      <c r="C104" s="434" t="s">
        <v>2626</v>
      </c>
      <c r="D104" s="374">
        <v>22026012001128</v>
      </c>
      <c r="E104" s="609"/>
      <c r="F104" s="507">
        <v>10</v>
      </c>
      <c r="G104" s="521">
        <v>2125</v>
      </c>
      <c r="H104" s="519"/>
      <c r="I104" s="537">
        <v>808</v>
      </c>
      <c r="J104" s="590">
        <f t="shared" si="0"/>
        <v>939</v>
      </c>
    </row>
    <row r="105" spans="1:10">
      <c r="A105" s="652"/>
      <c r="B105" s="618"/>
      <c r="C105" s="434" t="s">
        <v>2628</v>
      </c>
      <c r="D105" s="374">
        <v>22026012001133</v>
      </c>
      <c r="E105" s="609"/>
      <c r="F105" s="507">
        <v>11.2</v>
      </c>
      <c r="G105" s="521">
        <v>2507</v>
      </c>
      <c r="H105" s="519"/>
      <c r="I105" s="537">
        <v>953</v>
      </c>
      <c r="J105" s="590">
        <f t="shared" si="0"/>
        <v>1084</v>
      </c>
    </row>
    <row r="106" spans="1:10">
      <c r="A106" s="652"/>
      <c r="B106" s="618"/>
      <c r="C106" s="434" t="s">
        <v>2630</v>
      </c>
      <c r="D106" s="374">
        <v>22026012001121</v>
      </c>
      <c r="E106" s="609"/>
      <c r="F106" s="507">
        <v>14</v>
      </c>
      <c r="G106" s="521">
        <v>2610</v>
      </c>
      <c r="H106" s="519"/>
      <c r="I106" s="537">
        <v>992</v>
      </c>
      <c r="J106" s="590">
        <f t="shared" si="0"/>
        <v>1123</v>
      </c>
    </row>
    <row r="107" spans="1:10">
      <c r="A107" s="652"/>
      <c r="B107" s="618"/>
      <c r="C107" s="434" t="s">
        <v>2631</v>
      </c>
      <c r="D107" s="374">
        <v>22026012001277</v>
      </c>
      <c r="E107" s="609"/>
      <c r="F107" s="507">
        <v>16</v>
      </c>
      <c r="G107" s="521">
        <v>2639</v>
      </c>
      <c r="H107" s="519"/>
      <c r="I107" s="537">
        <v>1003</v>
      </c>
      <c r="J107" s="590">
        <f>I107+$I$111</f>
        <v>1188</v>
      </c>
    </row>
    <row r="108" spans="1:10">
      <c r="A108" s="652"/>
      <c r="B108" s="618"/>
      <c r="C108" s="434" t="s">
        <v>2632</v>
      </c>
      <c r="D108" s="374">
        <v>22026012001275</v>
      </c>
      <c r="E108" s="610"/>
      <c r="F108" s="507">
        <v>18</v>
      </c>
      <c r="G108" s="521">
        <v>2718</v>
      </c>
      <c r="H108" s="519"/>
      <c r="I108" s="537">
        <v>1033</v>
      </c>
      <c r="J108" s="590">
        <f>I108+$I$111</f>
        <v>1218</v>
      </c>
    </row>
    <row r="109" spans="1:10" ht="47">
      <c r="A109" s="652"/>
      <c r="B109" s="618"/>
      <c r="C109" s="434" t="s">
        <v>3904</v>
      </c>
      <c r="D109" s="374">
        <v>22012900003290</v>
      </c>
      <c r="E109" s="508" t="s">
        <v>3925</v>
      </c>
      <c r="F109" s="507" t="s">
        <v>2241</v>
      </c>
      <c r="G109" s="521">
        <v>343</v>
      </c>
      <c r="H109" s="519"/>
      <c r="I109" s="537">
        <v>131</v>
      </c>
    </row>
    <row r="110" spans="1:10" ht="30">
      <c r="A110" s="652"/>
      <c r="B110" s="618"/>
      <c r="C110" s="434" t="s">
        <v>2636</v>
      </c>
      <c r="D110" s="374">
        <v>22012900003290</v>
      </c>
      <c r="E110" s="509" t="s">
        <v>4079</v>
      </c>
      <c r="F110" s="510" t="s">
        <v>2241</v>
      </c>
      <c r="G110" s="521">
        <v>412</v>
      </c>
      <c r="H110" s="519"/>
      <c r="I110" s="537">
        <v>157</v>
      </c>
    </row>
    <row r="111" spans="1:10" ht="40" customHeight="1">
      <c r="A111" s="653"/>
      <c r="B111" s="619"/>
      <c r="C111" s="434" t="s">
        <v>2637</v>
      </c>
      <c r="D111" s="374">
        <v>22012900003350</v>
      </c>
      <c r="E111" s="508" t="s">
        <v>3926</v>
      </c>
      <c r="F111" s="507" t="s">
        <v>2241</v>
      </c>
      <c r="G111" s="521">
        <v>486</v>
      </c>
      <c r="H111" s="519"/>
      <c r="I111" s="537">
        <v>185</v>
      </c>
    </row>
    <row r="112" spans="1:10">
      <c r="A112" s="654" t="s">
        <v>3640</v>
      </c>
      <c r="B112" s="620" t="s">
        <v>2587</v>
      </c>
      <c r="C112" s="434" t="s">
        <v>2640</v>
      </c>
      <c r="D112" s="374">
        <v>22026011001494</v>
      </c>
      <c r="E112" s="616" t="s">
        <v>3927</v>
      </c>
      <c r="F112" s="435">
        <v>1.5</v>
      </c>
      <c r="G112" s="521">
        <v>1034</v>
      </c>
      <c r="H112" s="519"/>
      <c r="I112" s="537">
        <v>393</v>
      </c>
    </row>
    <row r="113" spans="1:9">
      <c r="A113" s="654"/>
      <c r="B113" s="620"/>
      <c r="C113" s="434" t="s">
        <v>2642</v>
      </c>
      <c r="D113" s="374">
        <v>22026011001492</v>
      </c>
      <c r="E113" s="616"/>
      <c r="F113" s="435">
        <v>2.2000000000000002</v>
      </c>
      <c r="G113" s="521">
        <v>1103</v>
      </c>
      <c r="H113" s="519"/>
      <c r="I113" s="537">
        <v>420</v>
      </c>
    </row>
    <row r="114" spans="1:9">
      <c r="A114" s="654"/>
      <c r="B114" s="620"/>
      <c r="C114" s="434" t="s">
        <v>2644</v>
      </c>
      <c r="D114" s="374">
        <v>22026011001491</v>
      </c>
      <c r="E114" s="616"/>
      <c r="F114" s="435">
        <v>2.8</v>
      </c>
      <c r="G114" s="521">
        <v>1148</v>
      </c>
      <c r="H114" s="519"/>
      <c r="I114" s="537">
        <v>437</v>
      </c>
    </row>
    <row r="115" spans="1:9">
      <c r="A115" s="654"/>
      <c r="B115" s="620"/>
      <c r="C115" s="434" t="s">
        <v>2646</v>
      </c>
      <c r="D115" s="374">
        <v>22026011001495</v>
      </c>
      <c r="E115" s="616"/>
      <c r="F115" s="435">
        <v>3.6</v>
      </c>
      <c r="G115" s="521">
        <v>1165</v>
      </c>
      <c r="H115" s="519"/>
      <c r="I115" s="537">
        <v>443</v>
      </c>
    </row>
    <row r="116" spans="1:9">
      <c r="A116" s="654"/>
      <c r="B116" s="620"/>
      <c r="C116" s="434" t="s">
        <v>2648</v>
      </c>
      <c r="D116" s="374">
        <v>22026011001496</v>
      </c>
      <c r="E116" s="616"/>
      <c r="F116" s="435">
        <v>4.5</v>
      </c>
      <c r="G116" s="521">
        <v>1371</v>
      </c>
      <c r="H116" s="519"/>
      <c r="I116" s="537">
        <v>521</v>
      </c>
    </row>
    <row r="117" spans="1:9">
      <c r="A117" s="654"/>
      <c r="B117" s="620"/>
      <c r="C117" s="434" t="s">
        <v>2650</v>
      </c>
      <c r="D117" s="374">
        <v>22026011001478</v>
      </c>
      <c r="E117" s="616"/>
      <c r="F117" s="435">
        <v>5.6</v>
      </c>
      <c r="G117" s="521">
        <v>1462</v>
      </c>
      <c r="H117" s="519"/>
      <c r="I117" s="537">
        <v>556</v>
      </c>
    </row>
    <row r="118" spans="1:9">
      <c r="A118" s="654"/>
      <c r="B118" s="620"/>
      <c r="C118" s="434" t="s">
        <v>2652</v>
      </c>
      <c r="D118" s="374">
        <v>22026011001490</v>
      </c>
      <c r="E118" s="616"/>
      <c r="F118" s="435">
        <v>7.1</v>
      </c>
      <c r="G118" s="521">
        <v>1554</v>
      </c>
      <c r="H118" s="519"/>
      <c r="I118" s="537">
        <v>591</v>
      </c>
    </row>
    <row r="119" spans="1:9">
      <c r="A119" s="654"/>
      <c r="B119" s="620"/>
      <c r="C119" s="434" t="s">
        <v>2654</v>
      </c>
      <c r="D119" s="374">
        <v>22026011001497</v>
      </c>
      <c r="E119" s="616"/>
      <c r="F119" s="435">
        <v>8</v>
      </c>
      <c r="G119" s="521">
        <v>1531</v>
      </c>
      <c r="H119" s="519"/>
      <c r="I119" s="537">
        <v>582</v>
      </c>
    </row>
    <row r="120" spans="1:9">
      <c r="A120" s="654"/>
      <c r="B120" s="620"/>
      <c r="C120" s="434" t="s">
        <v>2656</v>
      </c>
      <c r="D120" s="374">
        <v>22026011001485</v>
      </c>
      <c r="E120" s="616"/>
      <c r="F120" s="435">
        <v>9</v>
      </c>
      <c r="G120" s="521">
        <v>1645</v>
      </c>
      <c r="H120" s="519"/>
      <c r="I120" s="537">
        <v>626</v>
      </c>
    </row>
    <row r="121" spans="1:9">
      <c r="A121" s="654"/>
      <c r="B121" s="620"/>
      <c r="C121" s="434" t="s">
        <v>2658</v>
      </c>
      <c r="D121" s="374">
        <v>22026011001493</v>
      </c>
      <c r="E121" s="616"/>
      <c r="F121" s="435">
        <v>11.2</v>
      </c>
      <c r="G121" s="521">
        <v>1805</v>
      </c>
      <c r="H121" s="519"/>
      <c r="I121" s="537">
        <v>686</v>
      </c>
    </row>
    <row r="122" spans="1:9">
      <c r="A122" s="650" t="s">
        <v>4084</v>
      </c>
      <c r="B122" s="620" t="s">
        <v>2587</v>
      </c>
      <c r="C122" s="434" t="s">
        <v>2660</v>
      </c>
      <c r="D122" s="420" t="s">
        <v>2661</v>
      </c>
      <c r="E122" s="605" t="s">
        <v>3928</v>
      </c>
      <c r="F122" s="507">
        <v>1.5</v>
      </c>
      <c r="G122" s="521">
        <v>1091</v>
      </c>
      <c r="H122" s="519"/>
      <c r="I122" s="537">
        <v>415</v>
      </c>
    </row>
    <row r="123" spans="1:9">
      <c r="A123" s="650"/>
      <c r="B123" s="620"/>
      <c r="C123" s="434" t="s">
        <v>2663</v>
      </c>
      <c r="D123" s="420" t="s">
        <v>2664</v>
      </c>
      <c r="E123" s="605"/>
      <c r="F123" s="507">
        <v>2.2000000000000002</v>
      </c>
      <c r="G123" s="521">
        <v>1148</v>
      </c>
      <c r="H123" s="519"/>
      <c r="I123" s="537">
        <v>437</v>
      </c>
    </row>
    <row r="124" spans="1:9">
      <c r="A124" s="650"/>
      <c r="B124" s="620"/>
      <c r="C124" s="434" t="s">
        <v>2666</v>
      </c>
      <c r="D124" s="420" t="s">
        <v>2667</v>
      </c>
      <c r="E124" s="605"/>
      <c r="F124" s="507">
        <v>2.8</v>
      </c>
      <c r="G124" s="521">
        <v>1194</v>
      </c>
      <c r="H124" s="519"/>
      <c r="I124" s="537">
        <v>454</v>
      </c>
    </row>
    <row r="125" spans="1:9">
      <c r="A125" s="650"/>
      <c r="B125" s="620"/>
      <c r="C125" s="434" t="s">
        <v>2669</v>
      </c>
      <c r="D125" s="420" t="s">
        <v>2670</v>
      </c>
      <c r="E125" s="605"/>
      <c r="F125" s="591">
        <v>3.6</v>
      </c>
      <c r="G125" s="521">
        <v>1211</v>
      </c>
      <c r="H125" s="519"/>
      <c r="I125" s="537">
        <v>461</v>
      </c>
    </row>
    <row r="126" spans="1:9">
      <c r="A126" s="650"/>
      <c r="B126" s="620"/>
      <c r="C126" s="434" t="s">
        <v>2672</v>
      </c>
      <c r="D126" s="420" t="s">
        <v>2673</v>
      </c>
      <c r="E126" s="605"/>
      <c r="F126" s="507">
        <v>4.5</v>
      </c>
      <c r="G126" s="521">
        <v>1428</v>
      </c>
      <c r="H126" s="519"/>
      <c r="I126" s="537">
        <v>543</v>
      </c>
    </row>
    <row r="127" spans="1:9">
      <c r="A127" s="650"/>
      <c r="B127" s="620"/>
      <c r="C127" s="434" t="s">
        <v>2675</v>
      </c>
      <c r="D127" s="420" t="s">
        <v>2676</v>
      </c>
      <c r="E127" s="605"/>
      <c r="F127" s="507">
        <v>5.6</v>
      </c>
      <c r="G127" s="521">
        <v>1519</v>
      </c>
      <c r="H127" s="519"/>
      <c r="I127" s="537">
        <v>578</v>
      </c>
    </row>
    <row r="128" spans="1:9">
      <c r="A128" s="650"/>
      <c r="B128" s="620"/>
      <c r="C128" s="434" t="s">
        <v>2678</v>
      </c>
      <c r="D128" s="420" t="s">
        <v>2679</v>
      </c>
      <c r="E128" s="605"/>
      <c r="F128" s="507">
        <v>7.1</v>
      </c>
      <c r="G128" s="521">
        <v>1616</v>
      </c>
      <c r="H128" s="519"/>
      <c r="I128" s="537">
        <v>615</v>
      </c>
    </row>
    <row r="129" spans="1:9">
      <c r="A129" s="650"/>
      <c r="B129" s="620"/>
      <c r="C129" s="434" t="s">
        <v>2681</v>
      </c>
      <c r="D129" s="420" t="s">
        <v>2682</v>
      </c>
      <c r="E129" s="605"/>
      <c r="F129" s="507">
        <v>8</v>
      </c>
      <c r="G129" s="521">
        <v>1594</v>
      </c>
      <c r="H129" s="519"/>
      <c r="I129" s="537">
        <v>606</v>
      </c>
    </row>
    <row r="130" spans="1:9">
      <c r="A130" s="650"/>
      <c r="B130" s="620"/>
      <c r="C130" s="434" t="s">
        <v>2684</v>
      </c>
      <c r="D130" s="420" t="s">
        <v>2685</v>
      </c>
      <c r="E130" s="605"/>
      <c r="F130" s="507">
        <v>9</v>
      </c>
      <c r="G130" s="521">
        <v>1713</v>
      </c>
      <c r="H130" s="519"/>
      <c r="I130" s="537">
        <v>651</v>
      </c>
    </row>
    <row r="131" spans="1:9">
      <c r="A131" s="650"/>
      <c r="B131" s="620"/>
      <c r="C131" s="434" t="s">
        <v>2687</v>
      </c>
      <c r="D131" s="420" t="s">
        <v>2688</v>
      </c>
      <c r="E131" s="605"/>
      <c r="F131" s="507">
        <v>11.2</v>
      </c>
      <c r="G131" s="521">
        <v>1879</v>
      </c>
      <c r="H131" s="519"/>
      <c r="I131" s="537">
        <v>715</v>
      </c>
    </row>
    <row r="132" spans="1:9">
      <c r="A132" s="650"/>
      <c r="B132" s="620"/>
      <c r="C132" s="434" t="s">
        <v>2690</v>
      </c>
      <c r="D132" s="420" t="s">
        <v>2691</v>
      </c>
      <c r="E132" s="605"/>
      <c r="F132" s="507">
        <v>12.5</v>
      </c>
      <c r="G132" s="521">
        <v>1896</v>
      </c>
      <c r="H132" s="519"/>
      <c r="I132" s="537">
        <v>721</v>
      </c>
    </row>
    <row r="133" spans="1:9">
      <c r="A133" s="650"/>
      <c r="B133" s="620"/>
      <c r="C133" s="434" t="s">
        <v>2693</v>
      </c>
      <c r="D133" s="420" t="s">
        <v>2691</v>
      </c>
      <c r="E133" s="605"/>
      <c r="F133" s="507">
        <v>14</v>
      </c>
      <c r="G133" s="521">
        <v>1936</v>
      </c>
      <c r="H133" s="519"/>
      <c r="I133" s="537">
        <v>736</v>
      </c>
    </row>
    <row r="134" spans="1:9">
      <c r="A134" s="650"/>
      <c r="B134" s="620"/>
      <c r="C134" s="434" t="s">
        <v>2695</v>
      </c>
      <c r="D134" s="420" t="s">
        <v>2691</v>
      </c>
      <c r="E134" s="605"/>
      <c r="F134" s="507">
        <v>16</v>
      </c>
      <c r="G134" s="521">
        <v>2068</v>
      </c>
      <c r="H134" s="519"/>
      <c r="I134" s="537">
        <v>786</v>
      </c>
    </row>
    <row r="135" spans="1:9" ht="15">
      <c r="A135" s="655" t="s">
        <v>2696</v>
      </c>
      <c r="B135" s="436"/>
      <c r="C135" s="437" t="s">
        <v>2697</v>
      </c>
      <c r="D135" s="438">
        <v>22026021000225</v>
      </c>
      <c r="E135" s="606" t="s">
        <v>3929</v>
      </c>
      <c r="F135" s="439"/>
      <c r="G135" s="521">
        <v>2213</v>
      </c>
      <c r="H135" s="519"/>
      <c r="I135" s="538">
        <v>841</v>
      </c>
    </row>
    <row r="136" spans="1:9" ht="15">
      <c r="A136" s="656"/>
      <c r="B136" s="436"/>
      <c r="C136" s="432" t="s">
        <v>2698</v>
      </c>
      <c r="D136" s="440">
        <v>22026021000224</v>
      </c>
      <c r="E136" s="607"/>
      <c r="F136" s="439"/>
      <c r="G136" s="521">
        <v>2296</v>
      </c>
      <c r="H136" s="519"/>
      <c r="I136" s="538">
        <v>873</v>
      </c>
    </row>
    <row r="137" spans="1:9" ht="15">
      <c r="A137" s="656"/>
      <c r="B137" s="436"/>
      <c r="C137" s="432" t="s">
        <v>2699</v>
      </c>
      <c r="D137" s="440">
        <v>22026021000226</v>
      </c>
      <c r="E137" s="607"/>
      <c r="F137" s="439"/>
      <c r="G137" s="521">
        <v>2473</v>
      </c>
      <c r="H137" s="519"/>
      <c r="I137" s="538">
        <v>940</v>
      </c>
    </row>
    <row r="138" spans="1:9" ht="15">
      <c r="A138" s="656"/>
      <c r="B138" s="436"/>
      <c r="C138" s="432" t="s">
        <v>2700</v>
      </c>
      <c r="D138" s="440">
        <v>22026021000223</v>
      </c>
      <c r="E138" s="607"/>
      <c r="F138" s="439"/>
      <c r="G138" s="521">
        <v>3163</v>
      </c>
      <c r="H138" s="519"/>
      <c r="I138" s="538">
        <v>1202</v>
      </c>
    </row>
    <row r="139" spans="1:9" ht="15">
      <c r="A139" s="656"/>
      <c r="B139" s="436"/>
      <c r="C139" s="432" t="s">
        <v>2701</v>
      </c>
      <c r="D139" s="440">
        <v>22026021000245</v>
      </c>
      <c r="E139" s="607"/>
      <c r="F139" s="439"/>
      <c r="G139" s="521">
        <v>3411</v>
      </c>
      <c r="H139" s="519"/>
      <c r="I139" s="538">
        <v>1297</v>
      </c>
    </row>
    <row r="140" spans="1:9" ht="15">
      <c r="A140" s="655" t="s">
        <v>3863</v>
      </c>
      <c r="B140" s="436"/>
      <c r="C140" s="432" t="s">
        <v>2702</v>
      </c>
      <c r="D140" s="440">
        <v>22026021000206</v>
      </c>
      <c r="E140" s="606" t="s">
        <v>3929</v>
      </c>
      <c r="F140" s="439"/>
      <c r="G140" s="521">
        <v>5676</v>
      </c>
      <c r="H140" s="519"/>
      <c r="I140" s="538">
        <v>2157</v>
      </c>
    </row>
    <row r="141" spans="1:9" ht="15">
      <c r="A141" s="656"/>
      <c r="B141" s="436"/>
      <c r="C141" s="432" t="s">
        <v>2703</v>
      </c>
      <c r="D141" s="440">
        <v>22026021000207</v>
      </c>
      <c r="E141" s="607"/>
      <c r="F141" s="439"/>
      <c r="G141" s="521">
        <v>5777</v>
      </c>
      <c r="H141" s="519"/>
      <c r="I141" s="538">
        <v>2196</v>
      </c>
    </row>
    <row r="142" spans="1:9" ht="15">
      <c r="A142" s="656"/>
      <c r="B142" s="436"/>
      <c r="C142" s="432" t="s">
        <v>2704</v>
      </c>
      <c r="D142" s="440">
        <v>22026021000210</v>
      </c>
      <c r="E142" s="607"/>
      <c r="F142" s="439"/>
      <c r="G142" s="521">
        <v>5859</v>
      </c>
      <c r="H142" s="519"/>
      <c r="I142" s="538">
        <v>2227</v>
      </c>
    </row>
    <row r="143" spans="1:9" ht="15">
      <c r="A143" s="656"/>
      <c r="B143" s="436"/>
      <c r="C143" s="432" t="s">
        <v>2705</v>
      </c>
      <c r="D143" s="440">
        <v>22026021000205</v>
      </c>
      <c r="E143" s="607"/>
      <c r="F143" s="439"/>
      <c r="G143" s="521">
        <v>5918</v>
      </c>
      <c r="H143" s="519"/>
      <c r="I143" s="538">
        <v>2249</v>
      </c>
    </row>
    <row r="144" spans="1:9" ht="15">
      <c r="A144" s="656"/>
      <c r="B144" s="436"/>
      <c r="C144" s="432" t="s">
        <v>2706</v>
      </c>
      <c r="D144" s="440">
        <v>22026021000203</v>
      </c>
      <c r="E144" s="607"/>
      <c r="F144" s="439"/>
      <c r="G144" s="521">
        <v>6007</v>
      </c>
      <c r="H144" s="519"/>
      <c r="I144" s="538">
        <v>2283</v>
      </c>
    </row>
    <row r="145" spans="1:9" ht="15">
      <c r="A145" s="656"/>
      <c r="B145" s="436"/>
      <c r="C145" s="432" t="s">
        <v>2707</v>
      </c>
      <c r="D145" s="440">
        <v>22026021000204</v>
      </c>
      <c r="E145" s="607"/>
      <c r="F145" s="439"/>
      <c r="G145" s="521">
        <v>7316</v>
      </c>
      <c r="H145" s="519"/>
      <c r="I145" s="538">
        <v>2781</v>
      </c>
    </row>
    <row r="146" spans="1:9" ht="15">
      <c r="A146" s="656"/>
      <c r="B146" s="436"/>
      <c r="C146" s="432" t="s">
        <v>2708</v>
      </c>
      <c r="D146" s="440">
        <v>22026021000208</v>
      </c>
      <c r="E146" s="607"/>
      <c r="F146" s="439"/>
      <c r="G146" s="521">
        <v>7641</v>
      </c>
      <c r="H146" s="519"/>
      <c r="I146" s="538">
        <v>2904</v>
      </c>
    </row>
    <row r="147" spans="1:9" ht="15">
      <c r="A147" s="656"/>
      <c r="B147" s="436"/>
      <c r="C147" s="432" t="s">
        <v>2709</v>
      </c>
      <c r="D147" s="440">
        <v>22026021000209</v>
      </c>
      <c r="E147" s="607"/>
      <c r="F147" s="439"/>
      <c r="G147" s="521">
        <v>8502</v>
      </c>
      <c r="H147" s="519"/>
      <c r="I147" s="538">
        <v>3231</v>
      </c>
    </row>
    <row r="148" spans="1:9">
      <c r="A148" s="657" t="s">
        <v>3856</v>
      </c>
      <c r="B148" s="617" t="s">
        <v>2587</v>
      </c>
      <c r="C148" s="434" t="s">
        <v>2711</v>
      </c>
      <c r="D148" s="374">
        <v>22026010000509</v>
      </c>
      <c r="E148" s="608" t="s">
        <v>3919</v>
      </c>
      <c r="F148" s="507">
        <v>1.5</v>
      </c>
      <c r="G148" s="521">
        <v>908</v>
      </c>
      <c r="H148" s="519"/>
      <c r="I148" s="537">
        <v>346</v>
      </c>
    </row>
    <row r="149" spans="1:9">
      <c r="A149" s="658"/>
      <c r="B149" s="618"/>
      <c r="C149" s="434" t="s">
        <v>2712</v>
      </c>
      <c r="D149" s="374">
        <v>22026010000505</v>
      </c>
      <c r="E149" s="609"/>
      <c r="F149" s="507">
        <v>2.2000000000000002</v>
      </c>
      <c r="G149" s="521">
        <v>965</v>
      </c>
      <c r="H149" s="519"/>
      <c r="I149" s="537">
        <v>367</v>
      </c>
    </row>
    <row r="150" spans="1:9">
      <c r="A150" s="658"/>
      <c r="B150" s="618"/>
      <c r="C150" s="434" t="s">
        <v>2713</v>
      </c>
      <c r="D150" s="374">
        <v>22026010000510</v>
      </c>
      <c r="E150" s="609"/>
      <c r="F150" s="507">
        <v>2.8</v>
      </c>
      <c r="G150" s="521">
        <v>1017</v>
      </c>
      <c r="H150" s="519"/>
      <c r="I150" s="537">
        <v>387</v>
      </c>
    </row>
    <row r="151" spans="1:9">
      <c r="A151" s="658"/>
      <c r="B151" s="618"/>
      <c r="C151" s="434" t="s">
        <v>2714</v>
      </c>
      <c r="D151" s="374">
        <v>22026010000503</v>
      </c>
      <c r="E151" s="609"/>
      <c r="F151" s="507">
        <v>3.6</v>
      </c>
      <c r="G151" s="521">
        <v>1131</v>
      </c>
      <c r="H151" s="519"/>
      <c r="I151" s="537">
        <v>430</v>
      </c>
    </row>
    <row r="152" spans="1:9">
      <c r="A152" s="658"/>
      <c r="B152" s="618"/>
      <c r="C152" s="434" t="s">
        <v>2715</v>
      </c>
      <c r="D152" s="374">
        <v>22026010000499</v>
      </c>
      <c r="E152" s="609"/>
      <c r="F152" s="507">
        <v>4.5</v>
      </c>
      <c r="G152" s="521">
        <v>1280</v>
      </c>
      <c r="H152" s="519"/>
      <c r="I152" s="537">
        <v>487</v>
      </c>
    </row>
    <row r="153" spans="1:9">
      <c r="A153" s="658"/>
      <c r="B153" s="618"/>
      <c r="C153" s="434" t="s">
        <v>2716</v>
      </c>
      <c r="D153" s="374">
        <v>22026010000502</v>
      </c>
      <c r="E153" s="609"/>
      <c r="F153" s="507">
        <v>5.6</v>
      </c>
      <c r="G153" s="521">
        <v>1308</v>
      </c>
      <c r="H153" s="519"/>
      <c r="I153" s="537">
        <v>498</v>
      </c>
    </row>
    <row r="154" spans="1:9">
      <c r="A154" s="658"/>
      <c r="B154" s="618"/>
      <c r="C154" s="434" t="s">
        <v>3870</v>
      </c>
      <c r="D154" s="374">
        <v>22026010000601</v>
      </c>
      <c r="E154" s="609"/>
      <c r="F154" s="507">
        <v>7.1</v>
      </c>
      <c r="G154" s="521">
        <v>1411</v>
      </c>
      <c r="H154" s="519"/>
      <c r="I154" s="537">
        <v>537</v>
      </c>
    </row>
    <row r="155" spans="1:9">
      <c r="A155" s="659"/>
      <c r="B155" s="619"/>
      <c r="C155" s="434" t="s">
        <v>2717</v>
      </c>
      <c r="D155" s="374">
        <v>22026010000602</v>
      </c>
      <c r="E155" s="610"/>
      <c r="F155" s="507">
        <v>8</v>
      </c>
      <c r="G155" s="521">
        <v>1439</v>
      </c>
      <c r="H155" s="519"/>
      <c r="I155" s="537">
        <v>547</v>
      </c>
    </row>
    <row r="156" spans="1:9">
      <c r="A156" s="655" t="s">
        <v>2718</v>
      </c>
      <c r="B156" s="617" t="s">
        <v>2587</v>
      </c>
      <c r="C156" s="434" t="s">
        <v>3934</v>
      </c>
      <c r="D156" s="374">
        <v>22026010000509</v>
      </c>
      <c r="E156" s="611" t="s">
        <v>3918</v>
      </c>
      <c r="F156" s="441">
        <v>1.5</v>
      </c>
      <c r="G156" s="521">
        <v>1040</v>
      </c>
      <c r="H156" s="519"/>
      <c r="I156" s="537">
        <v>396</v>
      </c>
    </row>
    <row r="157" spans="1:9">
      <c r="A157" s="656"/>
      <c r="B157" s="618"/>
      <c r="C157" s="434" t="s">
        <v>3935</v>
      </c>
      <c r="D157" s="374">
        <v>22026010000505</v>
      </c>
      <c r="E157" s="612"/>
      <c r="F157" s="441">
        <v>2.2000000000000002</v>
      </c>
      <c r="G157" s="521">
        <v>1200</v>
      </c>
      <c r="H157" s="519"/>
      <c r="I157" s="537">
        <v>456</v>
      </c>
    </row>
    <row r="158" spans="1:9">
      <c r="A158" s="656"/>
      <c r="B158" s="618"/>
      <c r="C158" s="434" t="s">
        <v>3936</v>
      </c>
      <c r="D158" s="374">
        <v>22026010000510</v>
      </c>
      <c r="E158" s="612"/>
      <c r="F158" s="441">
        <v>2.8</v>
      </c>
      <c r="G158" s="521">
        <v>1245</v>
      </c>
      <c r="H158" s="519"/>
      <c r="I158" s="537">
        <v>474</v>
      </c>
    </row>
    <row r="159" spans="1:9">
      <c r="A159" s="656"/>
      <c r="B159" s="618"/>
      <c r="C159" s="434" t="s">
        <v>3937</v>
      </c>
      <c r="D159" s="374">
        <v>22026010000503</v>
      </c>
      <c r="E159" s="612"/>
      <c r="F159" s="441">
        <v>3.6</v>
      </c>
      <c r="G159" s="521">
        <v>1337</v>
      </c>
      <c r="H159" s="519"/>
      <c r="I159" s="537">
        <v>509</v>
      </c>
    </row>
    <row r="160" spans="1:9">
      <c r="A160" s="656"/>
      <c r="B160" s="618"/>
      <c r="C160" s="434" t="s">
        <v>3938</v>
      </c>
      <c r="D160" s="374">
        <v>22026010000499</v>
      </c>
      <c r="E160" s="612"/>
      <c r="F160" s="441">
        <v>4.5</v>
      </c>
      <c r="G160" s="521">
        <v>1485</v>
      </c>
      <c r="H160" s="519"/>
      <c r="I160" s="537">
        <v>565</v>
      </c>
    </row>
    <row r="161" spans="1:9">
      <c r="A161" s="656"/>
      <c r="B161" s="618"/>
      <c r="C161" s="434" t="s">
        <v>3939</v>
      </c>
      <c r="D161" s="374">
        <v>22026010000502</v>
      </c>
      <c r="E161" s="612"/>
      <c r="F161" s="441">
        <v>5.6</v>
      </c>
      <c r="G161" s="521">
        <v>1525</v>
      </c>
      <c r="H161" s="519"/>
      <c r="I161" s="537">
        <v>580</v>
      </c>
    </row>
    <row r="162" spans="1:9">
      <c r="A162" s="656"/>
      <c r="B162" s="618"/>
      <c r="C162" s="434" t="s">
        <v>3940</v>
      </c>
      <c r="D162" s="374">
        <v>22026010000601</v>
      </c>
      <c r="E162" s="612"/>
      <c r="F162" s="441">
        <v>7</v>
      </c>
      <c r="G162" s="521">
        <v>1696</v>
      </c>
      <c r="H162" s="519"/>
      <c r="I162" s="537">
        <v>645</v>
      </c>
    </row>
    <row r="163" spans="1:9">
      <c r="A163" s="660"/>
      <c r="B163" s="619"/>
      <c r="C163" s="434" t="s">
        <v>3941</v>
      </c>
      <c r="D163" s="374">
        <v>22026010000602</v>
      </c>
      <c r="E163" s="613"/>
      <c r="F163" s="441">
        <v>8</v>
      </c>
      <c r="G163" s="521">
        <v>1725</v>
      </c>
      <c r="H163" s="519"/>
      <c r="I163" s="537">
        <v>656</v>
      </c>
    </row>
    <row r="164" spans="1:9">
      <c r="A164" s="630" t="s">
        <v>2725</v>
      </c>
      <c r="B164" s="622" t="s">
        <v>2587</v>
      </c>
      <c r="C164" s="431" t="s">
        <v>2726</v>
      </c>
      <c r="D164" s="375">
        <v>22026012001196</v>
      </c>
      <c r="E164" s="600" t="s">
        <v>2727</v>
      </c>
      <c r="F164" s="430">
        <v>2.2000000000000002</v>
      </c>
      <c r="G164" s="521">
        <v>1417</v>
      </c>
      <c r="H164" s="519"/>
      <c r="I164" s="537">
        <v>539</v>
      </c>
    </row>
    <row r="165" spans="1:9">
      <c r="A165" s="631"/>
      <c r="B165" s="623"/>
      <c r="C165" s="431" t="s">
        <v>2728</v>
      </c>
      <c r="D165" s="375">
        <v>22026012001216</v>
      </c>
      <c r="E165" s="601"/>
      <c r="F165" s="430">
        <v>2.8</v>
      </c>
      <c r="G165" s="521">
        <v>1519</v>
      </c>
      <c r="H165" s="519"/>
      <c r="I165" s="537">
        <v>578</v>
      </c>
    </row>
    <row r="166" spans="1:9">
      <c r="A166" s="631"/>
      <c r="B166" s="623"/>
      <c r="C166" s="431" t="s">
        <v>2729</v>
      </c>
      <c r="D166" s="375">
        <v>22026012001218</v>
      </c>
      <c r="E166" s="601"/>
      <c r="F166" s="430">
        <v>3.6</v>
      </c>
      <c r="G166" s="521">
        <v>1605</v>
      </c>
      <c r="H166" s="519"/>
      <c r="I166" s="537">
        <v>610</v>
      </c>
    </row>
    <row r="167" spans="1:9">
      <c r="A167" s="631"/>
      <c r="B167" s="623"/>
      <c r="C167" s="431" t="s">
        <v>2730</v>
      </c>
      <c r="D167" s="375">
        <v>22026012001214</v>
      </c>
      <c r="E167" s="601"/>
      <c r="F167" s="430">
        <v>4.5</v>
      </c>
      <c r="G167" s="521">
        <v>1645</v>
      </c>
      <c r="H167" s="519"/>
      <c r="I167" s="537">
        <v>626</v>
      </c>
    </row>
    <row r="168" spans="1:9">
      <c r="A168" s="631"/>
      <c r="B168" s="623"/>
      <c r="C168" s="431" t="s">
        <v>2731</v>
      </c>
      <c r="D168" s="375">
        <v>22026012001194</v>
      </c>
      <c r="E168" s="601"/>
      <c r="F168" s="430">
        <v>5.6</v>
      </c>
      <c r="G168" s="521">
        <v>1696</v>
      </c>
      <c r="H168" s="519"/>
      <c r="I168" s="537">
        <v>645</v>
      </c>
    </row>
    <row r="169" spans="1:9">
      <c r="A169" s="631"/>
      <c r="B169" s="623"/>
      <c r="C169" s="431" t="s">
        <v>2732</v>
      </c>
      <c r="D169" s="375">
        <v>22026012001198</v>
      </c>
      <c r="E169" s="602"/>
      <c r="F169" s="430">
        <v>7.1</v>
      </c>
      <c r="G169" s="521">
        <v>1765</v>
      </c>
      <c r="H169" s="519"/>
      <c r="I169" s="537">
        <v>671</v>
      </c>
    </row>
    <row r="170" spans="1:9">
      <c r="A170" s="632"/>
      <c r="B170" s="624"/>
      <c r="C170" s="431" t="s">
        <v>2733</v>
      </c>
      <c r="D170" s="375">
        <v>22012900003432</v>
      </c>
      <c r="E170" s="377" t="s">
        <v>2734</v>
      </c>
      <c r="F170" s="443" t="s">
        <v>2241</v>
      </c>
      <c r="G170" s="521">
        <v>526</v>
      </c>
      <c r="H170" s="519"/>
      <c r="I170" s="537">
        <v>200</v>
      </c>
    </row>
    <row r="171" spans="1:9" ht="18.5" customHeight="1">
      <c r="A171" s="630" t="s">
        <v>3860</v>
      </c>
      <c r="B171" s="622" t="s">
        <v>2587</v>
      </c>
      <c r="C171" s="431" t="s">
        <v>2735</v>
      </c>
      <c r="D171" s="375">
        <v>22026012001237</v>
      </c>
      <c r="E171" s="600" t="s">
        <v>3861</v>
      </c>
      <c r="F171" s="430">
        <v>1.8</v>
      </c>
      <c r="G171" s="521">
        <v>1091</v>
      </c>
      <c r="H171" s="519"/>
      <c r="I171" s="537">
        <v>415</v>
      </c>
    </row>
    <row r="172" spans="1:9" ht="18.5" customHeight="1">
      <c r="A172" s="631"/>
      <c r="B172" s="623"/>
      <c r="C172" s="431" t="s">
        <v>2736</v>
      </c>
      <c r="D172" s="375">
        <v>22026012001234</v>
      </c>
      <c r="E172" s="601"/>
      <c r="F172" s="430">
        <v>2.2000000000000002</v>
      </c>
      <c r="G172" s="521">
        <v>1194</v>
      </c>
      <c r="H172" s="519"/>
      <c r="I172" s="537">
        <v>454</v>
      </c>
    </row>
    <row r="173" spans="1:9" ht="18.5" customHeight="1">
      <c r="A173" s="631"/>
      <c r="B173" s="623"/>
      <c r="C173" s="431" t="s">
        <v>2737</v>
      </c>
      <c r="D173" s="375">
        <v>22026012001254</v>
      </c>
      <c r="E173" s="601"/>
      <c r="F173" s="430">
        <v>2.8</v>
      </c>
      <c r="G173" s="521">
        <v>1314</v>
      </c>
      <c r="H173" s="519"/>
      <c r="I173" s="537">
        <v>500</v>
      </c>
    </row>
    <row r="174" spans="1:9" ht="18.5" customHeight="1">
      <c r="A174" s="631"/>
      <c r="B174" s="623"/>
      <c r="C174" s="431" t="s">
        <v>2738</v>
      </c>
      <c r="D174" s="375">
        <v>22026012001240</v>
      </c>
      <c r="E174" s="601"/>
      <c r="F174" s="430">
        <v>3.6</v>
      </c>
      <c r="G174" s="521">
        <v>1337</v>
      </c>
      <c r="H174" s="519"/>
      <c r="I174" s="537">
        <v>509</v>
      </c>
    </row>
    <row r="175" spans="1:9" ht="18.5" customHeight="1">
      <c r="A175" s="631"/>
      <c r="B175" s="623"/>
      <c r="C175" s="431" t="s">
        <v>2739</v>
      </c>
      <c r="D175" s="375">
        <v>22026012001236</v>
      </c>
      <c r="E175" s="601"/>
      <c r="F175" s="430">
        <v>4.5</v>
      </c>
      <c r="G175" s="521">
        <v>1348</v>
      </c>
      <c r="H175" s="519"/>
      <c r="I175" s="537">
        <v>513</v>
      </c>
    </row>
    <row r="176" spans="1:9" ht="18.5" customHeight="1">
      <c r="A176" s="631"/>
      <c r="B176" s="623"/>
      <c r="C176" s="431" t="s">
        <v>2740</v>
      </c>
      <c r="D176" s="375">
        <v>22026012001241</v>
      </c>
      <c r="E176" s="601"/>
      <c r="F176" s="430">
        <v>5.6</v>
      </c>
      <c r="G176" s="521">
        <v>1451</v>
      </c>
      <c r="H176" s="519"/>
      <c r="I176" s="537">
        <v>552</v>
      </c>
    </row>
    <row r="177" spans="1:10" ht="18.5" customHeight="1">
      <c r="A177" s="631"/>
      <c r="B177" s="623"/>
      <c r="C177" s="431" t="s">
        <v>2741</v>
      </c>
      <c r="D177" s="375">
        <v>22026012001238</v>
      </c>
      <c r="E177" s="602"/>
      <c r="F177" s="430">
        <v>7.1</v>
      </c>
      <c r="G177" s="521">
        <v>1542</v>
      </c>
      <c r="H177" s="519"/>
      <c r="I177" s="537">
        <v>586</v>
      </c>
    </row>
    <row r="178" spans="1:10">
      <c r="A178" s="631"/>
      <c r="B178" s="623"/>
      <c r="C178" s="431" t="s">
        <v>2742</v>
      </c>
      <c r="D178" s="375">
        <v>22012900003431</v>
      </c>
      <c r="E178" s="377" t="s">
        <v>3862</v>
      </c>
      <c r="F178" s="443" t="s">
        <v>2241</v>
      </c>
      <c r="G178" s="521">
        <v>189</v>
      </c>
      <c r="H178" s="519"/>
      <c r="I178" s="537">
        <v>72</v>
      </c>
    </row>
    <row r="179" spans="1:10">
      <c r="A179" s="632"/>
      <c r="B179" s="624"/>
      <c r="C179" s="431" t="s">
        <v>2743</v>
      </c>
      <c r="D179" s="375">
        <v>22012900003430</v>
      </c>
      <c r="E179" s="377" t="s">
        <v>2744</v>
      </c>
      <c r="F179" s="443" t="s">
        <v>2241</v>
      </c>
      <c r="G179" s="522">
        <v>332</v>
      </c>
      <c r="H179" s="519"/>
      <c r="I179" s="537">
        <v>127</v>
      </c>
    </row>
    <row r="180" spans="1:10">
      <c r="A180" s="633" t="s">
        <v>2745</v>
      </c>
      <c r="B180" s="628" t="s">
        <v>2587</v>
      </c>
      <c r="C180" s="444" t="s">
        <v>2746</v>
      </c>
      <c r="D180" s="433">
        <v>22026012001376</v>
      </c>
      <c r="E180" s="603" t="s">
        <v>3930</v>
      </c>
      <c r="F180" s="506">
        <v>1.8</v>
      </c>
      <c r="G180" s="522">
        <v>1074</v>
      </c>
      <c r="H180" s="519"/>
      <c r="I180" s="537">
        <v>409</v>
      </c>
      <c r="J180" s="590">
        <f>I180+$I$187</f>
        <v>481</v>
      </c>
    </row>
    <row r="181" spans="1:10">
      <c r="A181" s="634"/>
      <c r="B181" s="628"/>
      <c r="C181" s="444" t="s">
        <v>2747</v>
      </c>
      <c r="D181" s="433">
        <v>22026012001356</v>
      </c>
      <c r="E181" s="604"/>
      <c r="F181" s="506">
        <v>2.2000000000000002</v>
      </c>
      <c r="G181" s="522">
        <v>1171</v>
      </c>
      <c r="H181" s="519"/>
      <c r="I181" s="537">
        <v>445</v>
      </c>
      <c r="J181" s="590">
        <f>I181+$I$187</f>
        <v>517</v>
      </c>
    </row>
    <row r="182" spans="1:10">
      <c r="A182" s="634"/>
      <c r="B182" s="628"/>
      <c r="C182" s="444" t="s">
        <v>2748</v>
      </c>
      <c r="D182" s="433">
        <v>22026012001375</v>
      </c>
      <c r="E182" s="604"/>
      <c r="F182" s="506">
        <v>2.8</v>
      </c>
      <c r="G182" s="522">
        <v>1257</v>
      </c>
      <c r="H182" s="519"/>
      <c r="I182" s="537">
        <v>478</v>
      </c>
      <c r="J182" s="590">
        <f>I182+$I$188</f>
        <v>557</v>
      </c>
    </row>
    <row r="183" spans="1:10">
      <c r="A183" s="634"/>
      <c r="B183" s="628"/>
      <c r="C183" s="444" t="s">
        <v>2749</v>
      </c>
      <c r="D183" s="433">
        <v>22026012001354</v>
      </c>
      <c r="E183" s="604"/>
      <c r="F183" s="506">
        <v>3.6</v>
      </c>
      <c r="G183" s="522">
        <v>1308</v>
      </c>
      <c r="H183" s="519"/>
      <c r="I183" s="537">
        <v>498</v>
      </c>
      <c r="J183" s="590">
        <f>I183+$I$188</f>
        <v>577</v>
      </c>
    </row>
    <row r="184" spans="1:10">
      <c r="A184" s="634"/>
      <c r="B184" s="628"/>
      <c r="C184" s="444" t="s">
        <v>2750</v>
      </c>
      <c r="D184" s="433">
        <v>22026012001377</v>
      </c>
      <c r="E184" s="604"/>
      <c r="F184" s="506">
        <v>4.5</v>
      </c>
      <c r="G184" s="522">
        <v>1348</v>
      </c>
      <c r="H184" s="519"/>
      <c r="I184" s="537">
        <v>513</v>
      </c>
      <c r="J184" s="590">
        <f>I184+$I$189</f>
        <v>626</v>
      </c>
    </row>
    <row r="185" spans="1:10">
      <c r="A185" s="634"/>
      <c r="B185" s="628"/>
      <c r="C185" s="444" t="s">
        <v>2751</v>
      </c>
      <c r="D185" s="433">
        <v>22026012001374</v>
      </c>
      <c r="E185" s="604"/>
      <c r="F185" s="506">
        <v>5.6</v>
      </c>
      <c r="G185" s="522">
        <v>1422</v>
      </c>
      <c r="H185" s="519"/>
      <c r="I185" s="537">
        <v>541</v>
      </c>
      <c r="J185" s="590">
        <f>I185+$I$189</f>
        <v>654</v>
      </c>
    </row>
    <row r="186" spans="1:10">
      <c r="A186" s="634"/>
      <c r="B186" s="628"/>
      <c r="C186" s="444" t="s">
        <v>2752</v>
      </c>
      <c r="D186" s="433">
        <v>22026012001355</v>
      </c>
      <c r="E186" s="604"/>
      <c r="F186" s="506">
        <v>7.1</v>
      </c>
      <c r="G186" s="522">
        <v>1514</v>
      </c>
      <c r="H186" s="519"/>
      <c r="I186" s="537">
        <v>576</v>
      </c>
      <c r="J186" s="590">
        <f>I186+$I$189</f>
        <v>689</v>
      </c>
    </row>
    <row r="187" spans="1:10">
      <c r="A187" s="634"/>
      <c r="B187" s="442"/>
      <c r="C187" s="444" t="s">
        <v>2753</v>
      </c>
      <c r="D187" s="433">
        <v>22013900000021</v>
      </c>
      <c r="E187" s="504" t="s">
        <v>3641</v>
      </c>
      <c r="F187" s="505" t="s">
        <v>2241</v>
      </c>
      <c r="G187" s="523">
        <v>189</v>
      </c>
      <c r="H187" s="519"/>
      <c r="I187" s="537">
        <v>72</v>
      </c>
    </row>
    <row r="188" spans="1:10">
      <c r="A188" s="634"/>
      <c r="B188" s="442"/>
      <c r="C188" s="444" t="s">
        <v>2754</v>
      </c>
      <c r="D188" s="433">
        <v>22013900000023</v>
      </c>
      <c r="E188" s="504" t="s">
        <v>2755</v>
      </c>
      <c r="F188" s="505" t="s">
        <v>2241</v>
      </c>
      <c r="G188" s="521">
        <v>206</v>
      </c>
      <c r="H188" s="519"/>
      <c r="I188" s="537">
        <v>79</v>
      </c>
    </row>
    <row r="189" spans="1:10">
      <c r="A189" s="635"/>
      <c r="B189" s="442"/>
      <c r="C189" s="444" t="s">
        <v>2756</v>
      </c>
      <c r="D189" s="433">
        <v>22013900000022</v>
      </c>
      <c r="E189" s="504" t="s">
        <v>2757</v>
      </c>
      <c r="F189" s="505" t="s">
        <v>2241</v>
      </c>
      <c r="G189" s="521">
        <v>297</v>
      </c>
      <c r="H189" s="519"/>
      <c r="I189" s="537">
        <v>113</v>
      </c>
    </row>
    <row r="190" spans="1:10">
      <c r="A190" s="636" t="s">
        <v>2758</v>
      </c>
      <c r="B190" s="622" t="s">
        <v>2587</v>
      </c>
      <c r="C190" s="431" t="s">
        <v>2759</v>
      </c>
      <c r="D190" s="375">
        <v>22026014000292</v>
      </c>
      <c r="E190" s="600" t="s">
        <v>2760</v>
      </c>
      <c r="F190" s="430">
        <v>2.2000000000000002</v>
      </c>
      <c r="G190" s="521">
        <v>1399</v>
      </c>
      <c r="H190" s="519"/>
      <c r="I190" s="537">
        <v>532</v>
      </c>
    </row>
    <row r="191" spans="1:10">
      <c r="A191" s="637"/>
      <c r="B191" s="623"/>
      <c r="C191" s="431" t="s">
        <v>2761</v>
      </c>
      <c r="D191" s="375">
        <v>22026014000291</v>
      </c>
      <c r="E191" s="601"/>
      <c r="F191" s="430">
        <v>2.8</v>
      </c>
      <c r="G191" s="521">
        <v>1434</v>
      </c>
      <c r="H191" s="519"/>
      <c r="I191" s="537">
        <v>545</v>
      </c>
    </row>
    <row r="192" spans="1:10">
      <c r="A192" s="637"/>
      <c r="B192" s="623"/>
      <c r="C192" s="431" t="s">
        <v>2762</v>
      </c>
      <c r="D192" s="375">
        <v>22026014000287</v>
      </c>
      <c r="E192" s="601"/>
      <c r="F192" s="430">
        <v>3.6</v>
      </c>
      <c r="G192" s="521">
        <v>1576</v>
      </c>
      <c r="H192" s="519"/>
      <c r="I192" s="537">
        <v>599</v>
      </c>
    </row>
    <row r="193" spans="1:9">
      <c r="A193" s="637"/>
      <c r="B193" s="623"/>
      <c r="C193" s="431" t="s">
        <v>2763</v>
      </c>
      <c r="D193" s="375">
        <v>22026014000294</v>
      </c>
      <c r="E193" s="601"/>
      <c r="F193" s="430">
        <v>4.5</v>
      </c>
      <c r="G193" s="521">
        <v>1668</v>
      </c>
      <c r="H193" s="519"/>
      <c r="I193" s="537">
        <v>634</v>
      </c>
    </row>
    <row r="194" spans="1:9">
      <c r="A194" s="637"/>
      <c r="B194" s="623"/>
      <c r="C194" s="431" t="s">
        <v>2764</v>
      </c>
      <c r="D194" s="375">
        <v>22026014000296</v>
      </c>
      <c r="E194" s="601"/>
      <c r="F194" s="430">
        <v>5.6</v>
      </c>
      <c r="G194" s="521">
        <v>1805</v>
      </c>
      <c r="H194" s="519"/>
      <c r="I194" s="537">
        <v>686</v>
      </c>
    </row>
    <row r="195" spans="1:9">
      <c r="A195" s="637"/>
      <c r="B195" s="623"/>
      <c r="C195" s="431" t="s">
        <v>2765</v>
      </c>
      <c r="D195" s="375">
        <v>22026014000290</v>
      </c>
      <c r="E195" s="601"/>
      <c r="F195" s="430">
        <v>7.1</v>
      </c>
      <c r="G195" s="521">
        <v>1862</v>
      </c>
      <c r="H195" s="519"/>
      <c r="I195" s="537">
        <v>708</v>
      </c>
    </row>
    <row r="196" spans="1:9">
      <c r="A196" s="638"/>
      <c r="B196" s="624"/>
      <c r="C196" s="431" t="s">
        <v>2766</v>
      </c>
      <c r="D196" s="375" t="s">
        <v>2767</v>
      </c>
      <c r="E196" s="602"/>
      <c r="F196" s="430">
        <v>8</v>
      </c>
      <c r="G196" s="521">
        <v>1942</v>
      </c>
      <c r="H196" s="519"/>
      <c r="I196" s="537">
        <v>738</v>
      </c>
    </row>
    <row r="197" spans="1:9">
      <c r="A197" s="636" t="s">
        <v>2768</v>
      </c>
      <c r="B197" s="622" t="s">
        <v>2587</v>
      </c>
      <c r="C197" s="431" t="s">
        <v>2769</v>
      </c>
      <c r="D197" s="375" t="s">
        <v>2770</v>
      </c>
      <c r="E197" s="600" t="s">
        <v>2760</v>
      </c>
      <c r="F197" s="430">
        <v>2.2000000000000002</v>
      </c>
      <c r="G197" s="521">
        <v>1508</v>
      </c>
      <c r="H197" s="519"/>
      <c r="I197" s="537">
        <v>574</v>
      </c>
    </row>
    <row r="198" spans="1:9">
      <c r="A198" s="637"/>
      <c r="B198" s="623"/>
      <c r="C198" s="431" t="s">
        <v>2771</v>
      </c>
      <c r="D198" s="375" t="s">
        <v>2772</v>
      </c>
      <c r="E198" s="601"/>
      <c r="F198" s="430">
        <v>2.8</v>
      </c>
      <c r="G198" s="521">
        <v>1559</v>
      </c>
      <c r="H198" s="519"/>
      <c r="I198" s="537">
        <v>593</v>
      </c>
    </row>
    <row r="199" spans="1:9">
      <c r="A199" s="637"/>
      <c r="B199" s="623"/>
      <c r="C199" s="431" t="s">
        <v>2773</v>
      </c>
      <c r="D199" s="375" t="s">
        <v>2774</v>
      </c>
      <c r="E199" s="601"/>
      <c r="F199" s="430">
        <v>3.6</v>
      </c>
      <c r="G199" s="521">
        <v>1696</v>
      </c>
      <c r="H199" s="519"/>
      <c r="I199" s="537">
        <v>645</v>
      </c>
    </row>
    <row r="200" spans="1:9">
      <c r="A200" s="637"/>
      <c r="B200" s="623"/>
      <c r="C200" s="431" t="s">
        <v>2775</v>
      </c>
      <c r="D200" s="375" t="s">
        <v>2776</v>
      </c>
      <c r="E200" s="601"/>
      <c r="F200" s="430">
        <v>4.5</v>
      </c>
      <c r="G200" s="521">
        <v>1805</v>
      </c>
      <c r="H200" s="519"/>
      <c r="I200" s="537">
        <v>686</v>
      </c>
    </row>
    <row r="201" spans="1:9">
      <c r="A201" s="637"/>
      <c r="B201" s="623"/>
      <c r="C201" s="431" t="s">
        <v>2777</v>
      </c>
      <c r="D201" s="375" t="s">
        <v>2778</v>
      </c>
      <c r="E201" s="601"/>
      <c r="F201" s="430">
        <v>5.6</v>
      </c>
      <c r="G201" s="521">
        <v>1936</v>
      </c>
      <c r="H201" s="519"/>
      <c r="I201" s="537">
        <v>736</v>
      </c>
    </row>
    <row r="202" spans="1:9">
      <c r="A202" s="637"/>
      <c r="B202" s="623"/>
      <c r="C202" s="431" t="s">
        <v>2779</v>
      </c>
      <c r="D202" s="375" t="s">
        <v>2780</v>
      </c>
      <c r="E202" s="601"/>
      <c r="F202" s="430">
        <v>7.1</v>
      </c>
      <c r="G202" s="521">
        <v>1999</v>
      </c>
      <c r="H202" s="519"/>
      <c r="I202" s="537">
        <v>760</v>
      </c>
    </row>
    <row r="203" spans="1:9">
      <c r="A203" s="638"/>
      <c r="B203" s="624"/>
      <c r="C203" s="431" t="s">
        <v>2781</v>
      </c>
      <c r="D203" s="375" t="s">
        <v>2780</v>
      </c>
      <c r="E203" s="602"/>
      <c r="F203" s="430">
        <v>8</v>
      </c>
      <c r="G203" s="521">
        <v>2102</v>
      </c>
      <c r="H203" s="519"/>
      <c r="I203" s="537">
        <v>799</v>
      </c>
    </row>
    <row r="204" spans="1:9">
      <c r="A204" s="636" t="s">
        <v>2782</v>
      </c>
      <c r="B204" s="622" t="s">
        <v>2587</v>
      </c>
      <c r="C204" s="431" t="s">
        <v>2783</v>
      </c>
      <c r="D204" s="375">
        <v>22026014000295</v>
      </c>
      <c r="E204" s="600" t="s">
        <v>2760</v>
      </c>
      <c r="F204" s="430">
        <v>2.2000000000000002</v>
      </c>
      <c r="G204" s="521">
        <v>1508</v>
      </c>
      <c r="H204" s="519"/>
      <c r="I204" s="537">
        <v>574</v>
      </c>
    </row>
    <row r="205" spans="1:9">
      <c r="A205" s="637"/>
      <c r="B205" s="623"/>
      <c r="C205" s="431" t="s">
        <v>2784</v>
      </c>
      <c r="D205" s="375">
        <v>22026014000289</v>
      </c>
      <c r="E205" s="601"/>
      <c r="F205" s="430">
        <v>2.8</v>
      </c>
      <c r="G205" s="521">
        <v>1559</v>
      </c>
      <c r="H205" s="519"/>
      <c r="I205" s="537">
        <v>593</v>
      </c>
    </row>
    <row r="206" spans="1:9">
      <c r="A206" s="637"/>
      <c r="B206" s="623"/>
      <c r="C206" s="431" t="s">
        <v>2785</v>
      </c>
      <c r="D206" s="375">
        <v>22026014000288</v>
      </c>
      <c r="E206" s="601"/>
      <c r="F206" s="430">
        <v>3.6</v>
      </c>
      <c r="G206" s="521">
        <v>1696</v>
      </c>
      <c r="H206" s="519"/>
      <c r="I206" s="537">
        <v>645</v>
      </c>
    </row>
    <row r="207" spans="1:9">
      <c r="A207" s="637"/>
      <c r="B207" s="623"/>
      <c r="C207" s="431" t="s">
        <v>2786</v>
      </c>
      <c r="D207" s="375">
        <v>22026014000293</v>
      </c>
      <c r="E207" s="601"/>
      <c r="F207" s="430">
        <v>4.5</v>
      </c>
      <c r="G207" s="521">
        <v>1805</v>
      </c>
      <c r="H207" s="519"/>
      <c r="I207" s="537">
        <v>686</v>
      </c>
    </row>
    <row r="208" spans="1:9">
      <c r="A208" s="637"/>
      <c r="B208" s="623"/>
      <c r="C208" s="431" t="s">
        <v>2787</v>
      </c>
      <c r="D208" s="375">
        <v>22026014000285</v>
      </c>
      <c r="E208" s="601"/>
      <c r="F208" s="430">
        <v>5.6</v>
      </c>
      <c r="G208" s="521">
        <v>1936</v>
      </c>
      <c r="H208" s="519"/>
      <c r="I208" s="537">
        <v>736</v>
      </c>
    </row>
    <row r="209" spans="1:9">
      <c r="A209" s="637"/>
      <c r="B209" s="623"/>
      <c r="C209" s="431" t="s">
        <v>2788</v>
      </c>
      <c r="D209" s="375">
        <v>22026014000286</v>
      </c>
      <c r="E209" s="601"/>
      <c r="F209" s="430">
        <v>7.1</v>
      </c>
      <c r="G209" s="521">
        <v>1999</v>
      </c>
      <c r="H209" s="519"/>
      <c r="I209" s="537">
        <v>760</v>
      </c>
    </row>
    <row r="210" spans="1:9">
      <c r="A210" s="638"/>
      <c r="B210" s="624"/>
      <c r="C210" s="431" t="s">
        <v>2789</v>
      </c>
      <c r="D210" s="375" t="s">
        <v>2780</v>
      </c>
      <c r="E210" s="602"/>
      <c r="F210" s="430">
        <v>8</v>
      </c>
      <c r="G210" s="521">
        <v>2102</v>
      </c>
      <c r="H210" s="519"/>
      <c r="I210" s="537">
        <v>799</v>
      </c>
    </row>
    <row r="211" spans="1:9">
      <c r="A211" s="630" t="s">
        <v>2790</v>
      </c>
      <c r="B211" s="625" t="s">
        <v>2587</v>
      </c>
      <c r="C211" s="431" t="s">
        <v>2791</v>
      </c>
      <c r="D211" s="375">
        <v>22026011001660</v>
      </c>
      <c r="E211" s="600" t="s">
        <v>2792</v>
      </c>
      <c r="F211" s="430">
        <v>5.6</v>
      </c>
      <c r="G211" s="521">
        <v>1748</v>
      </c>
      <c r="H211" s="519"/>
      <c r="I211" s="537">
        <v>665</v>
      </c>
    </row>
    <row r="212" spans="1:9">
      <c r="A212" s="631"/>
      <c r="B212" s="626"/>
      <c r="C212" s="431" t="s">
        <v>2793</v>
      </c>
      <c r="D212" s="375">
        <v>22026011001661</v>
      </c>
      <c r="E212" s="601"/>
      <c r="F212" s="430">
        <v>7.1</v>
      </c>
      <c r="G212" s="521">
        <v>1896</v>
      </c>
      <c r="H212" s="519"/>
      <c r="I212" s="537">
        <v>721</v>
      </c>
    </row>
    <row r="213" spans="1:9">
      <c r="A213" s="631"/>
      <c r="B213" s="626"/>
      <c r="C213" s="431" t="s">
        <v>2794</v>
      </c>
      <c r="D213" s="375">
        <v>22026011001639</v>
      </c>
      <c r="E213" s="601"/>
      <c r="F213" s="430">
        <v>8</v>
      </c>
      <c r="G213" s="521">
        <v>2005</v>
      </c>
      <c r="H213" s="519"/>
      <c r="I213" s="537">
        <v>762</v>
      </c>
    </row>
    <row r="214" spans="1:9">
      <c r="A214" s="631"/>
      <c r="B214" s="626"/>
      <c r="C214" s="431" t="s">
        <v>2795</v>
      </c>
      <c r="D214" s="375">
        <v>22026011001662</v>
      </c>
      <c r="E214" s="601"/>
      <c r="F214" s="430">
        <v>9</v>
      </c>
      <c r="G214" s="521">
        <v>2193</v>
      </c>
      <c r="H214" s="519"/>
      <c r="I214" s="537">
        <v>834</v>
      </c>
    </row>
    <row r="215" spans="1:9">
      <c r="A215" s="631"/>
      <c r="B215" s="626"/>
      <c r="C215" s="431" t="s">
        <v>2796</v>
      </c>
      <c r="D215" s="375">
        <v>22026011001663</v>
      </c>
      <c r="E215" s="601"/>
      <c r="F215" s="430">
        <v>11.2</v>
      </c>
      <c r="G215" s="521">
        <v>2284</v>
      </c>
      <c r="H215" s="519"/>
      <c r="I215" s="537">
        <v>868</v>
      </c>
    </row>
    <row r="216" spans="1:9">
      <c r="A216" s="631"/>
      <c r="B216" s="626"/>
      <c r="C216" s="431" t="s">
        <v>2797</v>
      </c>
      <c r="D216" s="375">
        <v>22026011001664</v>
      </c>
      <c r="E216" s="601"/>
      <c r="F216" s="430">
        <v>12.5</v>
      </c>
      <c r="G216" s="521">
        <v>2347</v>
      </c>
      <c r="H216" s="519"/>
      <c r="I216" s="537">
        <v>892</v>
      </c>
    </row>
    <row r="217" spans="1:9">
      <c r="A217" s="631"/>
      <c r="B217" s="626"/>
      <c r="C217" s="431" t="s">
        <v>2798</v>
      </c>
      <c r="D217" s="375">
        <v>22026011001642</v>
      </c>
      <c r="E217" s="601"/>
      <c r="F217" s="430">
        <v>14</v>
      </c>
      <c r="G217" s="521">
        <v>2456</v>
      </c>
      <c r="H217" s="519"/>
      <c r="I217" s="537">
        <v>934</v>
      </c>
    </row>
    <row r="218" spans="1:9">
      <c r="A218" s="631"/>
      <c r="B218" s="626"/>
      <c r="C218" s="431" t="s">
        <v>2799</v>
      </c>
      <c r="D218" s="375">
        <v>22026011001658</v>
      </c>
      <c r="E218" s="601"/>
      <c r="F218" s="430">
        <v>16</v>
      </c>
      <c r="G218" s="521">
        <v>2570</v>
      </c>
      <c r="H218" s="519"/>
      <c r="I218" s="537">
        <v>977</v>
      </c>
    </row>
    <row r="219" spans="1:9">
      <c r="A219" s="631"/>
      <c r="B219" s="626"/>
      <c r="C219" s="431" t="s">
        <v>2800</v>
      </c>
      <c r="D219" s="375">
        <v>22026011001702</v>
      </c>
      <c r="E219" s="601"/>
      <c r="F219" s="430">
        <v>20</v>
      </c>
      <c r="G219" s="521">
        <v>3643</v>
      </c>
      <c r="H219" s="519"/>
      <c r="I219" s="537">
        <v>1385</v>
      </c>
    </row>
    <row r="220" spans="1:9">
      <c r="A220" s="631"/>
      <c r="B220" s="626"/>
      <c r="C220" s="431" t="s">
        <v>2801</v>
      </c>
      <c r="D220" s="375">
        <v>22026011001704</v>
      </c>
      <c r="E220" s="601"/>
      <c r="F220" s="430">
        <v>22.4</v>
      </c>
      <c r="G220" s="521">
        <v>3718</v>
      </c>
      <c r="H220" s="519"/>
      <c r="I220" s="537">
        <v>1413</v>
      </c>
    </row>
    <row r="221" spans="1:9">
      <c r="A221" s="631"/>
      <c r="B221" s="626"/>
      <c r="C221" s="431" t="s">
        <v>2802</v>
      </c>
      <c r="D221" s="375">
        <v>22026011001700</v>
      </c>
      <c r="E221" s="601"/>
      <c r="F221" s="430">
        <v>25.2</v>
      </c>
      <c r="G221" s="521">
        <v>3746</v>
      </c>
      <c r="H221" s="519"/>
      <c r="I221" s="537">
        <v>1424</v>
      </c>
    </row>
    <row r="222" spans="1:9">
      <c r="A222" s="631"/>
      <c r="B222" s="626"/>
      <c r="C222" s="431" t="s">
        <v>2803</v>
      </c>
      <c r="D222" s="375">
        <v>22026011001709</v>
      </c>
      <c r="E222" s="601"/>
      <c r="F222" s="430">
        <v>28</v>
      </c>
      <c r="G222" s="521">
        <v>3798</v>
      </c>
      <c r="H222" s="519"/>
      <c r="I222" s="537">
        <v>1444</v>
      </c>
    </row>
    <row r="223" spans="1:9">
      <c r="A223" s="631"/>
      <c r="B223" s="626"/>
      <c r="C223" s="431" t="s">
        <v>2804</v>
      </c>
      <c r="D223" s="375">
        <v>22026011001678</v>
      </c>
      <c r="E223" s="601"/>
      <c r="F223" s="430">
        <v>33.5</v>
      </c>
      <c r="G223" s="521">
        <v>5174</v>
      </c>
      <c r="H223" s="519"/>
      <c r="I223" s="537">
        <v>1967</v>
      </c>
    </row>
    <row r="224" spans="1:9">
      <c r="A224" s="631"/>
      <c r="B224" s="626"/>
      <c r="C224" s="431" t="s">
        <v>2805</v>
      </c>
      <c r="D224" s="375">
        <v>22026011001708</v>
      </c>
      <c r="E224" s="601"/>
      <c r="F224" s="430">
        <v>40</v>
      </c>
      <c r="G224" s="521">
        <v>7441</v>
      </c>
      <c r="H224" s="519"/>
      <c r="I224" s="537">
        <v>2828</v>
      </c>
    </row>
    <row r="225" spans="1:9">
      <c r="A225" s="631"/>
      <c r="B225" s="626"/>
      <c r="C225" s="431" t="s">
        <v>2806</v>
      </c>
      <c r="D225" s="375">
        <v>22026011001703</v>
      </c>
      <c r="E225" s="601"/>
      <c r="F225" s="430">
        <v>45</v>
      </c>
      <c r="G225" s="521">
        <v>7755</v>
      </c>
      <c r="H225" s="519"/>
      <c r="I225" s="537">
        <v>2947</v>
      </c>
    </row>
    <row r="226" spans="1:9">
      <c r="A226" s="632"/>
      <c r="B226" s="627"/>
      <c r="C226" s="431" t="s">
        <v>2807</v>
      </c>
      <c r="D226" s="375">
        <v>22026011001680</v>
      </c>
      <c r="E226" s="602"/>
      <c r="F226" s="430">
        <v>56</v>
      </c>
      <c r="G226" s="521">
        <v>8154</v>
      </c>
      <c r="H226" s="519"/>
      <c r="I226" s="537">
        <v>3099</v>
      </c>
    </row>
    <row r="227" spans="1:9">
      <c r="A227" s="630" t="s">
        <v>2808</v>
      </c>
      <c r="B227" s="625" t="s">
        <v>2587</v>
      </c>
      <c r="C227" s="431" t="s">
        <v>2809</v>
      </c>
      <c r="D227" s="375">
        <v>22026013000450</v>
      </c>
      <c r="E227" s="600" t="s">
        <v>2810</v>
      </c>
      <c r="F227" s="445">
        <v>3.6</v>
      </c>
      <c r="G227" s="521">
        <v>1822</v>
      </c>
      <c r="H227" s="519"/>
      <c r="I227" s="537">
        <v>693</v>
      </c>
    </row>
    <row r="228" spans="1:9">
      <c r="A228" s="631"/>
      <c r="B228" s="626"/>
      <c r="C228" s="431" t="s">
        <v>2811</v>
      </c>
      <c r="D228" s="375">
        <v>22026013000455</v>
      </c>
      <c r="E228" s="601"/>
      <c r="F228" s="445">
        <v>4.5</v>
      </c>
      <c r="G228" s="521">
        <v>1908</v>
      </c>
      <c r="H228" s="519"/>
      <c r="I228" s="537">
        <v>726</v>
      </c>
    </row>
    <row r="229" spans="1:9">
      <c r="A229" s="631"/>
      <c r="B229" s="626"/>
      <c r="C229" s="431" t="s">
        <v>2812</v>
      </c>
      <c r="D229" s="375">
        <v>22026013000454</v>
      </c>
      <c r="E229" s="601"/>
      <c r="F229" s="445">
        <v>5.6</v>
      </c>
      <c r="G229" s="521">
        <v>1942</v>
      </c>
      <c r="H229" s="519"/>
      <c r="I229" s="537">
        <v>738</v>
      </c>
    </row>
    <row r="230" spans="1:9" ht="15">
      <c r="A230" s="631"/>
      <c r="B230" s="626"/>
      <c r="C230" s="446" t="s">
        <v>2813</v>
      </c>
      <c r="D230" s="375">
        <v>22026013000462</v>
      </c>
      <c r="E230" s="601"/>
      <c r="F230" s="445">
        <v>7.1</v>
      </c>
      <c r="G230" s="521">
        <v>2073</v>
      </c>
      <c r="H230" s="519"/>
      <c r="I230" s="537">
        <v>788</v>
      </c>
    </row>
    <row r="231" spans="1:9">
      <c r="A231" s="631"/>
      <c r="B231" s="626"/>
      <c r="C231" s="431" t="s">
        <v>2814</v>
      </c>
      <c r="D231" s="375" t="s">
        <v>2815</v>
      </c>
      <c r="E231" s="601"/>
      <c r="F231" s="445">
        <v>8</v>
      </c>
      <c r="G231" s="521">
        <v>2147</v>
      </c>
      <c r="H231" s="519"/>
      <c r="I231" s="537">
        <v>816</v>
      </c>
    </row>
    <row r="232" spans="1:9">
      <c r="A232" s="631"/>
      <c r="B232" s="626"/>
      <c r="C232" s="431" t="s">
        <v>2816</v>
      </c>
      <c r="D232" s="375">
        <v>22026013000457</v>
      </c>
      <c r="E232" s="601"/>
      <c r="F232" s="445">
        <v>9</v>
      </c>
      <c r="G232" s="521">
        <v>2267</v>
      </c>
      <c r="H232" s="519"/>
      <c r="I232" s="537">
        <v>862</v>
      </c>
    </row>
    <row r="233" spans="1:9">
      <c r="A233" s="631"/>
      <c r="B233" s="626"/>
      <c r="C233" s="431" t="s">
        <v>2817</v>
      </c>
      <c r="D233" s="375">
        <v>22026013000465</v>
      </c>
      <c r="E233" s="601"/>
      <c r="F233" s="445">
        <v>10</v>
      </c>
      <c r="G233" s="521">
        <v>2353</v>
      </c>
      <c r="H233" s="519"/>
      <c r="I233" s="537">
        <v>895</v>
      </c>
    </row>
    <row r="234" spans="1:9">
      <c r="A234" s="631"/>
      <c r="B234" s="626"/>
      <c r="C234" s="431" t="s">
        <v>2818</v>
      </c>
      <c r="D234" s="375">
        <v>22026013000467</v>
      </c>
      <c r="E234" s="601"/>
      <c r="F234" s="445">
        <v>11.2</v>
      </c>
      <c r="G234" s="521">
        <v>2427</v>
      </c>
      <c r="H234" s="519"/>
      <c r="I234" s="537">
        <v>923</v>
      </c>
    </row>
    <row r="235" spans="1:9">
      <c r="A235" s="631"/>
      <c r="B235" s="626"/>
      <c r="C235" s="431" t="s">
        <v>2819</v>
      </c>
      <c r="D235" s="375">
        <v>22026013000461</v>
      </c>
      <c r="E235" s="601"/>
      <c r="F235" s="445">
        <v>12.5</v>
      </c>
      <c r="G235" s="521">
        <v>2530</v>
      </c>
      <c r="H235" s="519"/>
      <c r="I235" s="537">
        <v>962</v>
      </c>
    </row>
    <row r="236" spans="1:9">
      <c r="A236" s="632"/>
      <c r="B236" s="627"/>
      <c r="C236" s="431" t="s">
        <v>2820</v>
      </c>
      <c r="D236" s="375">
        <v>22026013000469</v>
      </c>
      <c r="E236" s="602"/>
      <c r="F236" s="445">
        <v>14</v>
      </c>
      <c r="G236" s="521">
        <v>2553</v>
      </c>
      <c r="H236" s="519"/>
      <c r="I236" s="537">
        <v>971</v>
      </c>
    </row>
    <row r="237" spans="1:9">
      <c r="A237" s="630" t="s">
        <v>2821</v>
      </c>
      <c r="B237" s="625" t="s">
        <v>2822</v>
      </c>
      <c r="C237" s="447" t="s">
        <v>2823</v>
      </c>
      <c r="D237" s="433">
        <v>22026022000066</v>
      </c>
      <c r="E237" s="376"/>
      <c r="F237" s="445" t="s">
        <v>2824</v>
      </c>
      <c r="G237" s="521">
        <v>3033</v>
      </c>
      <c r="H237" s="519"/>
      <c r="I237" s="537">
        <v>1153</v>
      </c>
    </row>
    <row r="238" spans="1:9">
      <c r="A238" s="631"/>
      <c r="B238" s="626"/>
      <c r="C238" s="447" t="s">
        <v>2825</v>
      </c>
      <c r="D238" s="433">
        <v>22026022000065</v>
      </c>
      <c r="E238" s="376"/>
      <c r="F238" s="445" t="s">
        <v>2826</v>
      </c>
      <c r="G238" s="521">
        <v>3284</v>
      </c>
      <c r="H238" s="519"/>
      <c r="I238" s="537">
        <v>1248</v>
      </c>
    </row>
    <row r="239" spans="1:9">
      <c r="A239" s="631"/>
      <c r="B239" s="626"/>
      <c r="C239" s="447" t="s">
        <v>2827</v>
      </c>
      <c r="D239" s="433">
        <v>22026022000068</v>
      </c>
      <c r="E239" s="376"/>
      <c r="F239" s="445" t="s">
        <v>2828</v>
      </c>
      <c r="G239" s="521">
        <v>3741</v>
      </c>
      <c r="H239" s="519"/>
      <c r="I239" s="537">
        <v>1422</v>
      </c>
    </row>
    <row r="240" spans="1:9">
      <c r="A240" s="631"/>
      <c r="B240" s="626"/>
      <c r="C240" s="447" t="s">
        <v>2829</v>
      </c>
      <c r="D240" s="433">
        <v>22026022000067</v>
      </c>
      <c r="E240" s="376"/>
      <c r="F240" s="445" t="s">
        <v>2830</v>
      </c>
      <c r="G240" s="521">
        <v>4591</v>
      </c>
      <c r="H240" s="519"/>
      <c r="I240" s="537">
        <v>1745</v>
      </c>
    </row>
    <row r="241" spans="1:9">
      <c r="A241" s="631"/>
      <c r="B241" s="626"/>
      <c r="C241" s="447" t="s">
        <v>2831</v>
      </c>
      <c r="D241" s="433">
        <v>22026022000069</v>
      </c>
      <c r="E241" s="376"/>
      <c r="F241" s="445" t="s">
        <v>2832</v>
      </c>
      <c r="G241" s="521">
        <v>5785</v>
      </c>
      <c r="H241" s="519"/>
      <c r="I241" s="537">
        <v>2199</v>
      </c>
    </row>
    <row r="242" spans="1:9">
      <c r="A242" s="631"/>
      <c r="B242" s="626"/>
      <c r="C242" s="447" t="s">
        <v>2833</v>
      </c>
      <c r="D242" s="433">
        <v>22026022000070</v>
      </c>
      <c r="E242" s="376"/>
      <c r="F242" s="445" t="s">
        <v>2834</v>
      </c>
      <c r="G242" s="521">
        <v>7075</v>
      </c>
      <c r="H242" s="519"/>
      <c r="I242" s="537">
        <v>2689</v>
      </c>
    </row>
    <row r="243" spans="1:9">
      <c r="A243" s="631"/>
      <c r="B243" s="626"/>
      <c r="C243" s="447" t="s">
        <v>2835</v>
      </c>
      <c r="D243" s="433">
        <v>22026022000072</v>
      </c>
      <c r="E243" s="376"/>
      <c r="F243" s="445" t="s">
        <v>2836</v>
      </c>
      <c r="G243" s="521">
        <v>10730</v>
      </c>
      <c r="H243" s="519"/>
      <c r="I243" s="537">
        <v>4078</v>
      </c>
    </row>
    <row r="244" spans="1:9">
      <c r="A244" s="632"/>
      <c r="B244" s="627"/>
      <c r="C244" s="447" t="s">
        <v>2837</v>
      </c>
      <c r="D244" s="433">
        <v>22026022000071</v>
      </c>
      <c r="E244" s="376"/>
      <c r="F244" s="445" t="s">
        <v>2838</v>
      </c>
      <c r="G244" s="521">
        <v>11957</v>
      </c>
      <c r="H244" s="519"/>
      <c r="I244" s="537">
        <v>4544</v>
      </c>
    </row>
    <row r="245" spans="1:9" ht="15">
      <c r="A245" s="639" t="s">
        <v>2839</v>
      </c>
      <c r="B245" s="381"/>
      <c r="C245" s="434" t="s">
        <v>2840</v>
      </c>
      <c r="D245" s="420" t="s">
        <v>2841</v>
      </c>
      <c r="E245" s="380" t="s">
        <v>2842</v>
      </c>
      <c r="F245" s="443" t="s">
        <v>2241</v>
      </c>
      <c r="G245" s="521">
        <v>80</v>
      </c>
      <c r="H245" s="519"/>
      <c r="I245" s="537">
        <v>31</v>
      </c>
    </row>
    <row r="246" spans="1:9" ht="15">
      <c r="A246" s="640"/>
      <c r="B246" s="381"/>
      <c r="C246" s="448" t="s">
        <v>3871</v>
      </c>
      <c r="D246" s="449" t="s">
        <v>3872</v>
      </c>
      <c r="E246" s="380" t="s">
        <v>2842</v>
      </c>
      <c r="F246" s="443"/>
      <c r="G246" s="521">
        <v>98</v>
      </c>
      <c r="H246" s="519"/>
      <c r="I246" s="537">
        <v>38</v>
      </c>
    </row>
    <row r="247" spans="1:9" ht="15">
      <c r="A247" s="640"/>
      <c r="B247" s="381"/>
      <c r="C247" s="434" t="s">
        <v>2845</v>
      </c>
      <c r="D247" s="420" t="s">
        <v>2846</v>
      </c>
      <c r="E247" s="380" t="s">
        <v>2847</v>
      </c>
      <c r="F247" s="443" t="s">
        <v>2241</v>
      </c>
      <c r="G247" s="521">
        <v>223</v>
      </c>
      <c r="H247" s="519"/>
      <c r="I247" s="537">
        <v>85</v>
      </c>
    </row>
    <row r="248" spans="1:9" ht="15">
      <c r="A248" s="640"/>
      <c r="B248" s="381"/>
      <c r="C248" s="434" t="s">
        <v>2849</v>
      </c>
      <c r="D248" s="420" t="s">
        <v>2850</v>
      </c>
      <c r="E248" s="380" t="s">
        <v>2847</v>
      </c>
      <c r="F248" s="443"/>
      <c r="G248" s="521">
        <v>297</v>
      </c>
      <c r="H248" s="519"/>
      <c r="I248" s="537">
        <v>113</v>
      </c>
    </row>
    <row r="249" spans="1:9" ht="15">
      <c r="A249" s="640"/>
      <c r="B249" s="381"/>
      <c r="C249" s="434" t="s">
        <v>2851</v>
      </c>
      <c r="D249" s="420" t="s">
        <v>2852</v>
      </c>
      <c r="E249" s="380" t="s">
        <v>3931</v>
      </c>
      <c r="F249" s="443"/>
      <c r="G249" s="521">
        <v>297</v>
      </c>
      <c r="H249" s="519"/>
      <c r="I249" s="537">
        <v>113</v>
      </c>
    </row>
    <row r="250" spans="1:9" ht="15">
      <c r="A250" s="640"/>
      <c r="B250" s="381"/>
      <c r="C250" s="450" t="s">
        <v>3642</v>
      </c>
      <c r="D250" s="451">
        <v>17317100009479</v>
      </c>
      <c r="E250" s="380" t="s">
        <v>3932</v>
      </c>
      <c r="F250" s="443"/>
      <c r="G250" s="521">
        <v>332</v>
      </c>
      <c r="H250" s="519"/>
      <c r="I250" s="537">
        <v>127</v>
      </c>
    </row>
    <row r="251" spans="1:9" ht="15">
      <c r="A251" s="640"/>
      <c r="B251" s="381"/>
      <c r="C251" s="450" t="s">
        <v>3643</v>
      </c>
      <c r="D251" s="451">
        <v>17317100009482</v>
      </c>
      <c r="E251" s="380" t="s">
        <v>3931</v>
      </c>
      <c r="F251" s="443"/>
      <c r="G251" s="521">
        <v>332</v>
      </c>
      <c r="H251" s="519"/>
      <c r="I251" s="537">
        <v>127</v>
      </c>
    </row>
    <row r="252" spans="1:9" ht="15">
      <c r="A252" s="640"/>
      <c r="B252" s="381"/>
      <c r="C252" s="434" t="s">
        <v>2853</v>
      </c>
      <c r="D252" s="420" t="s">
        <v>2854</v>
      </c>
      <c r="E252" s="380" t="s">
        <v>2855</v>
      </c>
      <c r="F252" s="443" t="s">
        <v>2241</v>
      </c>
      <c r="G252" s="521">
        <v>646</v>
      </c>
      <c r="H252" s="519"/>
      <c r="I252" s="537">
        <v>246</v>
      </c>
    </row>
    <row r="253" spans="1:9" ht="15">
      <c r="A253" s="640"/>
      <c r="B253" s="381"/>
      <c r="C253" s="434" t="s">
        <v>2856</v>
      </c>
      <c r="D253" s="420" t="s">
        <v>2857</v>
      </c>
      <c r="E253" s="380" t="s">
        <v>2858</v>
      </c>
      <c r="F253" s="443" t="s">
        <v>2241</v>
      </c>
      <c r="G253" s="521">
        <v>8046</v>
      </c>
      <c r="H253" s="519"/>
      <c r="I253" s="537">
        <v>3058</v>
      </c>
    </row>
    <row r="254" spans="1:9" ht="15">
      <c r="A254" s="640"/>
      <c r="B254" s="381"/>
      <c r="C254" s="434" t="s">
        <v>2859</v>
      </c>
      <c r="D254" s="420" t="s">
        <v>2860</v>
      </c>
      <c r="E254" s="380" t="s">
        <v>2861</v>
      </c>
      <c r="F254" s="443" t="s">
        <v>2241</v>
      </c>
      <c r="G254" s="521">
        <v>8046</v>
      </c>
      <c r="H254" s="519"/>
      <c r="I254" s="537">
        <v>3058</v>
      </c>
    </row>
    <row r="255" spans="1:9" ht="15">
      <c r="A255" s="640"/>
      <c r="B255" s="381"/>
      <c r="C255" s="434" t="s">
        <v>2862</v>
      </c>
      <c r="D255" s="420" t="s">
        <v>2863</v>
      </c>
      <c r="E255" s="380" t="s">
        <v>2864</v>
      </c>
      <c r="F255" s="443" t="s">
        <v>2241</v>
      </c>
      <c r="G255" s="521">
        <v>8046</v>
      </c>
      <c r="H255" s="519"/>
      <c r="I255" s="537">
        <v>3058</v>
      </c>
    </row>
    <row r="256" spans="1:9" ht="15">
      <c r="A256" s="641"/>
      <c r="B256" s="381"/>
      <c r="C256" s="434" t="s">
        <v>2865</v>
      </c>
      <c r="D256" s="420" t="s">
        <v>2866</v>
      </c>
      <c r="E256" s="380" t="s">
        <v>2867</v>
      </c>
      <c r="F256" s="443" t="s">
        <v>2241</v>
      </c>
      <c r="G256" s="521">
        <v>943</v>
      </c>
      <c r="H256" s="519"/>
      <c r="I256" s="537">
        <v>359</v>
      </c>
    </row>
    <row r="257" spans="1:9" ht="13" customHeight="1">
      <c r="A257" s="625" t="s">
        <v>2868</v>
      </c>
      <c r="B257" s="381"/>
      <c r="C257" s="434" t="s">
        <v>2869</v>
      </c>
      <c r="D257" s="420" t="s">
        <v>2870</v>
      </c>
      <c r="E257" s="380" t="s">
        <v>3933</v>
      </c>
      <c r="F257" s="443"/>
      <c r="G257" s="521">
        <v>8937</v>
      </c>
      <c r="H257" s="519"/>
      <c r="I257" s="537">
        <v>3397</v>
      </c>
    </row>
    <row r="258" spans="1:9">
      <c r="A258" s="626"/>
      <c r="B258" s="381"/>
      <c r="C258" s="434" t="s">
        <v>2871</v>
      </c>
      <c r="D258" s="420" t="s">
        <v>2872</v>
      </c>
      <c r="E258" s="380"/>
      <c r="F258" s="443"/>
      <c r="G258" s="521">
        <v>2827</v>
      </c>
      <c r="H258" s="519"/>
      <c r="I258" s="537">
        <v>1075</v>
      </c>
    </row>
    <row r="259" spans="1:9" ht="21" customHeight="1">
      <c r="A259" s="626"/>
      <c r="B259" s="381"/>
      <c r="C259" s="434" t="s">
        <v>2873</v>
      </c>
      <c r="D259" s="420" t="s">
        <v>2874</v>
      </c>
      <c r="E259" s="380"/>
      <c r="F259" s="443"/>
      <c r="G259" s="521">
        <v>2524</v>
      </c>
      <c r="H259" s="519"/>
      <c r="I259" s="537">
        <v>960</v>
      </c>
    </row>
    <row r="260" spans="1:9">
      <c r="A260" s="627"/>
      <c r="B260" s="381"/>
      <c r="C260" s="434" t="s">
        <v>2875</v>
      </c>
      <c r="D260" s="392">
        <v>17311500001361</v>
      </c>
      <c r="E260" s="381"/>
      <c r="F260" s="443"/>
      <c r="G260" s="521">
        <v>3763</v>
      </c>
      <c r="H260" s="519"/>
      <c r="I260" s="537">
        <v>1430</v>
      </c>
    </row>
    <row r="261" spans="1:9" ht="15">
      <c r="A261" s="429" t="s">
        <v>2876</v>
      </c>
      <c r="B261" s="429"/>
      <c r="C261" s="429" t="s">
        <v>2877</v>
      </c>
      <c r="D261" s="452" t="s">
        <v>2878</v>
      </c>
      <c r="E261" s="378" t="s">
        <v>2879</v>
      </c>
      <c r="F261" s="443"/>
      <c r="G261" s="521">
        <v>749</v>
      </c>
      <c r="H261" s="519"/>
      <c r="I261" s="537">
        <v>285</v>
      </c>
    </row>
    <row r="262" spans="1:9" ht="34">
      <c r="A262" s="644" t="s">
        <v>2880</v>
      </c>
      <c r="B262" s="379"/>
      <c r="C262" s="443" t="s">
        <v>896</v>
      </c>
      <c r="D262" s="420" t="s">
        <v>897</v>
      </c>
      <c r="E262" s="380" t="s">
        <v>3644</v>
      </c>
      <c r="F262" s="443" t="s">
        <v>2241</v>
      </c>
      <c r="G262" s="521">
        <v>577</v>
      </c>
      <c r="H262" s="519"/>
      <c r="I262" s="537">
        <v>220</v>
      </c>
    </row>
    <row r="263" spans="1:9" ht="34">
      <c r="A263" s="645"/>
      <c r="B263" s="379"/>
      <c r="C263" s="443" t="s">
        <v>2882</v>
      </c>
      <c r="D263" s="420" t="s">
        <v>2883</v>
      </c>
      <c r="E263" s="380" t="s">
        <v>3645</v>
      </c>
      <c r="F263" s="443" t="s">
        <v>2241</v>
      </c>
      <c r="G263" s="521">
        <v>589</v>
      </c>
      <c r="H263" s="519"/>
      <c r="I263" s="537">
        <v>224</v>
      </c>
    </row>
    <row r="264" spans="1:9" ht="34">
      <c r="A264" s="645"/>
      <c r="B264" s="379"/>
      <c r="C264" s="443" t="s">
        <v>898</v>
      </c>
      <c r="D264" s="420" t="s">
        <v>899</v>
      </c>
      <c r="E264" s="380" t="s">
        <v>3646</v>
      </c>
      <c r="F264" s="443" t="s">
        <v>2241</v>
      </c>
      <c r="G264" s="521">
        <v>1017</v>
      </c>
      <c r="H264" s="519"/>
      <c r="I264" s="537">
        <v>387</v>
      </c>
    </row>
    <row r="265" spans="1:9" ht="34">
      <c r="A265" s="645"/>
      <c r="B265" s="379"/>
      <c r="C265" s="443" t="s">
        <v>2886</v>
      </c>
      <c r="D265" s="420" t="s">
        <v>2887</v>
      </c>
      <c r="E265" s="380" t="s">
        <v>3647</v>
      </c>
      <c r="F265" s="443" t="s">
        <v>2241</v>
      </c>
      <c r="G265" s="521">
        <v>1114</v>
      </c>
      <c r="H265" s="519"/>
      <c r="I265" s="537">
        <v>424</v>
      </c>
    </row>
    <row r="266" spans="1:9" ht="34">
      <c r="A266" s="645"/>
      <c r="B266" s="379"/>
      <c r="C266" s="443" t="s">
        <v>882</v>
      </c>
      <c r="D266" s="420" t="s">
        <v>883</v>
      </c>
      <c r="E266" s="380" t="s">
        <v>3648</v>
      </c>
      <c r="F266" s="443" t="s">
        <v>2241</v>
      </c>
      <c r="G266" s="521">
        <v>1108</v>
      </c>
      <c r="H266" s="519"/>
      <c r="I266" s="537">
        <v>422</v>
      </c>
    </row>
    <row r="267" spans="1:9" ht="34">
      <c r="A267" s="645"/>
      <c r="B267" s="379"/>
      <c r="C267" s="443" t="s">
        <v>2890</v>
      </c>
      <c r="D267" s="420" t="s">
        <v>2891</v>
      </c>
      <c r="E267" s="380" t="s">
        <v>3649</v>
      </c>
      <c r="F267" s="443" t="s">
        <v>2241</v>
      </c>
      <c r="G267" s="521">
        <v>1679</v>
      </c>
      <c r="H267" s="519"/>
      <c r="I267" s="537">
        <v>639</v>
      </c>
    </row>
    <row r="268" spans="1:9" ht="32">
      <c r="A268" s="645"/>
      <c r="B268" s="379"/>
      <c r="C268" s="443" t="s">
        <v>896</v>
      </c>
      <c r="D268" s="392">
        <v>15111700001468</v>
      </c>
      <c r="E268" s="380" t="s">
        <v>3650</v>
      </c>
      <c r="F268" s="443"/>
      <c r="G268" s="521">
        <v>577</v>
      </c>
      <c r="H268" s="519"/>
      <c r="I268" s="537">
        <v>220</v>
      </c>
    </row>
    <row r="269" spans="1:9" ht="32">
      <c r="A269" s="645"/>
      <c r="B269" s="379"/>
      <c r="C269" s="443" t="s">
        <v>898</v>
      </c>
      <c r="D269" s="392">
        <v>15111700001467</v>
      </c>
      <c r="E269" s="380" t="s">
        <v>3651</v>
      </c>
      <c r="F269" s="443"/>
      <c r="G269" s="521">
        <v>1017</v>
      </c>
      <c r="H269" s="519"/>
      <c r="I269" s="537">
        <v>387</v>
      </c>
    </row>
    <row r="270" spans="1:9" ht="32">
      <c r="A270" s="646"/>
      <c r="B270" s="379"/>
      <c r="C270" s="443" t="s">
        <v>2890</v>
      </c>
      <c r="D270" s="420" t="s">
        <v>2891</v>
      </c>
      <c r="E270" s="380" t="s">
        <v>3652</v>
      </c>
      <c r="F270" s="443"/>
      <c r="G270" s="521">
        <v>1679</v>
      </c>
      <c r="H270" s="519"/>
      <c r="I270" s="537">
        <v>639</v>
      </c>
    </row>
    <row r="271" spans="1:9" ht="17">
      <c r="A271" s="642" t="s">
        <v>2896</v>
      </c>
      <c r="B271" s="381"/>
      <c r="C271" s="453" t="s">
        <v>884</v>
      </c>
      <c r="D271" s="420" t="s">
        <v>885</v>
      </c>
      <c r="E271" s="380" t="s">
        <v>3653</v>
      </c>
      <c r="F271" s="443" t="s">
        <v>2241</v>
      </c>
      <c r="G271" s="521">
        <v>109</v>
      </c>
      <c r="H271" s="519"/>
      <c r="I271" s="537">
        <v>42</v>
      </c>
    </row>
    <row r="272" spans="1:9" ht="17">
      <c r="A272" s="642"/>
      <c r="B272" s="381"/>
      <c r="C272" s="453" t="s">
        <v>886</v>
      </c>
      <c r="D272" s="420" t="s">
        <v>887</v>
      </c>
      <c r="E272" s="380" t="s">
        <v>3653</v>
      </c>
      <c r="F272" s="443" t="s">
        <v>2241</v>
      </c>
      <c r="G272" s="521">
        <v>120</v>
      </c>
      <c r="H272" s="519"/>
      <c r="I272" s="537">
        <v>46</v>
      </c>
    </row>
    <row r="273" spans="1:9" ht="17">
      <c r="A273" s="642"/>
      <c r="B273" s="381"/>
      <c r="C273" s="453" t="s">
        <v>888</v>
      </c>
      <c r="D273" s="420" t="s">
        <v>889</v>
      </c>
      <c r="E273" s="380" t="s">
        <v>3653</v>
      </c>
      <c r="F273" s="443" t="s">
        <v>2241</v>
      </c>
      <c r="G273" s="521">
        <v>235</v>
      </c>
      <c r="H273" s="519"/>
      <c r="I273" s="537">
        <v>90</v>
      </c>
    </row>
    <row r="274" spans="1:9" ht="17">
      <c r="A274" s="642"/>
      <c r="B274" s="381"/>
      <c r="C274" s="453" t="s">
        <v>890</v>
      </c>
      <c r="D274" s="420" t="s">
        <v>891</v>
      </c>
      <c r="E274" s="380" t="s">
        <v>3653</v>
      </c>
      <c r="F274" s="443" t="s">
        <v>2241</v>
      </c>
      <c r="G274" s="521">
        <v>389</v>
      </c>
      <c r="H274" s="519"/>
      <c r="I274" s="537">
        <v>148</v>
      </c>
    </row>
    <row r="275" spans="1:9" ht="17">
      <c r="A275" s="642"/>
      <c r="B275" s="381"/>
      <c r="C275" s="453" t="s">
        <v>892</v>
      </c>
      <c r="D275" s="420" t="s">
        <v>893</v>
      </c>
      <c r="E275" s="380" t="s">
        <v>3653</v>
      </c>
      <c r="F275" s="443" t="s">
        <v>2241</v>
      </c>
      <c r="G275" s="521">
        <v>406</v>
      </c>
      <c r="H275" s="519"/>
      <c r="I275" s="537">
        <v>155</v>
      </c>
    </row>
    <row r="276" spans="1:9" ht="17">
      <c r="A276" s="642"/>
      <c r="B276" s="381"/>
      <c r="C276" s="453" t="s">
        <v>894</v>
      </c>
      <c r="D276" s="420" t="s">
        <v>895</v>
      </c>
      <c r="E276" s="380" t="s">
        <v>3653</v>
      </c>
      <c r="F276" s="443" t="s">
        <v>2241</v>
      </c>
      <c r="G276" s="521">
        <v>514</v>
      </c>
      <c r="H276" s="519"/>
      <c r="I276" s="537">
        <v>196</v>
      </c>
    </row>
    <row r="277" spans="1:9" ht="17">
      <c r="A277" s="642"/>
      <c r="B277" s="381"/>
      <c r="C277" s="453" t="s">
        <v>2898</v>
      </c>
      <c r="D277" s="420" t="s">
        <v>2899</v>
      </c>
      <c r="E277" s="380" t="s">
        <v>3653</v>
      </c>
      <c r="F277" s="443" t="s">
        <v>2241</v>
      </c>
      <c r="G277" s="521">
        <v>554</v>
      </c>
      <c r="H277" s="519"/>
      <c r="I277" s="537">
        <v>211</v>
      </c>
    </row>
    <row r="278" spans="1:9" ht="32">
      <c r="A278" s="642" t="s">
        <v>2900</v>
      </c>
      <c r="B278" s="381"/>
      <c r="C278" s="443" t="s">
        <v>852</v>
      </c>
      <c r="D278" s="420" t="s">
        <v>853</v>
      </c>
      <c r="E278" s="380" t="s">
        <v>3654</v>
      </c>
      <c r="F278" s="443" t="s">
        <v>2241</v>
      </c>
      <c r="G278" s="521">
        <v>223</v>
      </c>
      <c r="H278" s="519"/>
      <c r="I278" s="537">
        <v>85</v>
      </c>
    </row>
    <row r="279" spans="1:9" ht="32">
      <c r="A279" s="642"/>
      <c r="B279" s="381"/>
      <c r="C279" s="443" t="s">
        <v>854</v>
      </c>
      <c r="D279" s="420" t="s">
        <v>855</v>
      </c>
      <c r="E279" s="380" t="s">
        <v>3655</v>
      </c>
      <c r="F279" s="443" t="s">
        <v>2241</v>
      </c>
      <c r="G279" s="521">
        <v>480</v>
      </c>
      <c r="H279" s="519"/>
      <c r="I279" s="537">
        <v>183</v>
      </c>
    </row>
    <row r="280" spans="1:9" ht="30">
      <c r="A280" s="429" t="s">
        <v>2903</v>
      </c>
      <c r="B280" s="381"/>
      <c r="C280" s="443" t="s">
        <v>2904</v>
      </c>
      <c r="D280" s="420" t="s">
        <v>2905</v>
      </c>
      <c r="E280" s="380" t="s">
        <v>2906</v>
      </c>
      <c r="F280" s="443" t="s">
        <v>2241</v>
      </c>
      <c r="G280" s="521">
        <v>406</v>
      </c>
      <c r="H280" s="519"/>
      <c r="I280" s="537">
        <v>155</v>
      </c>
    </row>
    <row r="281" spans="1:9" ht="30">
      <c r="A281" s="642" t="s">
        <v>2907</v>
      </c>
      <c r="B281" s="381"/>
      <c r="C281" s="443" t="s">
        <v>2908</v>
      </c>
      <c r="D281" s="420" t="s">
        <v>2909</v>
      </c>
      <c r="E281" s="380" t="s">
        <v>2906</v>
      </c>
      <c r="F281" s="443" t="s">
        <v>2241</v>
      </c>
      <c r="G281" s="521">
        <v>703</v>
      </c>
      <c r="H281" s="519"/>
      <c r="I281" s="537">
        <v>268</v>
      </c>
    </row>
    <row r="282" spans="1:9" ht="30">
      <c r="A282" s="642"/>
      <c r="B282" s="381"/>
      <c r="C282" s="443" t="s">
        <v>2910</v>
      </c>
      <c r="D282" s="420" t="s">
        <v>2911</v>
      </c>
      <c r="E282" s="380" t="s">
        <v>2912</v>
      </c>
      <c r="F282" s="443" t="s">
        <v>2241</v>
      </c>
      <c r="G282" s="521">
        <v>229</v>
      </c>
      <c r="H282" s="519"/>
      <c r="I282" s="537">
        <v>88</v>
      </c>
    </row>
    <row r="283" spans="1:9" ht="32">
      <c r="A283" s="642" t="s">
        <v>2913</v>
      </c>
      <c r="B283" s="381"/>
      <c r="C283" s="443" t="s">
        <v>2914</v>
      </c>
      <c r="D283" s="420" t="s">
        <v>2915</v>
      </c>
      <c r="E283" s="380" t="s">
        <v>3656</v>
      </c>
      <c r="F283" s="443" t="s">
        <v>2241</v>
      </c>
      <c r="G283" s="521">
        <v>35</v>
      </c>
      <c r="H283" s="519"/>
      <c r="I283" s="537">
        <v>14</v>
      </c>
    </row>
    <row r="284" spans="1:9" ht="32">
      <c r="A284" s="642"/>
      <c r="B284" s="381"/>
      <c r="C284" s="443" t="s">
        <v>2917</v>
      </c>
      <c r="D284" s="420" t="s">
        <v>2918</v>
      </c>
      <c r="E284" s="380" t="s">
        <v>3657</v>
      </c>
      <c r="F284" s="443" t="s">
        <v>2241</v>
      </c>
      <c r="G284" s="521">
        <v>40</v>
      </c>
      <c r="H284" s="519"/>
      <c r="I284" s="537">
        <v>16</v>
      </c>
    </row>
    <row r="285" spans="1:9" ht="32">
      <c r="A285" s="642"/>
      <c r="B285" s="381"/>
      <c r="C285" s="443" t="s">
        <v>2920</v>
      </c>
      <c r="D285" s="420" t="s">
        <v>2921</v>
      </c>
      <c r="E285" s="380" t="s">
        <v>3658</v>
      </c>
      <c r="F285" s="443" t="s">
        <v>2241</v>
      </c>
      <c r="G285" s="521">
        <v>63</v>
      </c>
      <c r="H285" s="519"/>
      <c r="I285" s="537">
        <v>24</v>
      </c>
    </row>
    <row r="286" spans="1:9" ht="32">
      <c r="A286" s="642"/>
      <c r="B286" s="381"/>
      <c r="C286" s="443" t="s">
        <v>2923</v>
      </c>
      <c r="D286" s="420" t="s">
        <v>2924</v>
      </c>
      <c r="E286" s="380" t="s">
        <v>3659</v>
      </c>
      <c r="F286" s="443" t="s">
        <v>2241</v>
      </c>
      <c r="G286" s="521">
        <v>75</v>
      </c>
      <c r="H286" s="519"/>
      <c r="I286" s="537">
        <v>29</v>
      </c>
    </row>
    <row r="287" spans="1:9" ht="32">
      <c r="A287" s="642"/>
      <c r="B287" s="381"/>
      <c r="C287" s="443" t="s">
        <v>2926</v>
      </c>
      <c r="D287" s="420" t="s">
        <v>2927</v>
      </c>
      <c r="E287" s="380" t="s">
        <v>3660</v>
      </c>
      <c r="F287" s="443" t="s">
        <v>2241</v>
      </c>
      <c r="G287" s="521">
        <v>98</v>
      </c>
      <c r="H287" s="519"/>
      <c r="I287" s="537">
        <v>38</v>
      </c>
    </row>
    <row r="288" spans="1:9" ht="32">
      <c r="A288" s="642" t="s">
        <v>2929</v>
      </c>
      <c r="B288" s="381"/>
      <c r="C288" s="443" t="s">
        <v>2931</v>
      </c>
      <c r="D288" s="420" t="s">
        <v>2932</v>
      </c>
      <c r="E288" s="380" t="s">
        <v>3661</v>
      </c>
      <c r="F288" s="443" t="s">
        <v>2241</v>
      </c>
      <c r="G288" s="521">
        <v>611</v>
      </c>
      <c r="H288" s="519"/>
      <c r="I288" s="537">
        <v>233</v>
      </c>
    </row>
    <row r="289" spans="1:9" ht="32">
      <c r="A289" s="642"/>
      <c r="B289" s="381"/>
      <c r="C289" s="443" t="s">
        <v>2935</v>
      </c>
      <c r="D289" s="420" t="s">
        <v>2936</v>
      </c>
      <c r="E289" s="380" t="s">
        <v>3662</v>
      </c>
      <c r="F289" s="443" t="s">
        <v>2241</v>
      </c>
      <c r="G289" s="521">
        <v>703</v>
      </c>
      <c r="H289" s="519"/>
      <c r="I289" s="537">
        <v>268</v>
      </c>
    </row>
    <row r="290" spans="1:9" ht="32">
      <c r="A290" s="642"/>
      <c r="B290" s="381"/>
      <c r="C290" s="443" t="s">
        <v>2939</v>
      </c>
      <c r="D290" s="420" t="s">
        <v>2940</v>
      </c>
      <c r="E290" s="380" t="s">
        <v>3663</v>
      </c>
      <c r="F290" s="443" t="s">
        <v>2241</v>
      </c>
      <c r="G290" s="521">
        <v>1063</v>
      </c>
      <c r="H290" s="519"/>
      <c r="I290" s="537">
        <v>404</v>
      </c>
    </row>
    <row r="291" spans="1:9" ht="32">
      <c r="A291" s="642"/>
      <c r="B291" s="381"/>
      <c r="C291" s="443" t="s">
        <v>2943</v>
      </c>
      <c r="D291" s="420" t="s">
        <v>2944</v>
      </c>
      <c r="E291" s="380" t="s">
        <v>3664</v>
      </c>
      <c r="F291" s="443" t="s">
        <v>2241</v>
      </c>
      <c r="G291" s="521">
        <v>1234</v>
      </c>
      <c r="H291" s="519"/>
      <c r="I291" s="537">
        <v>469</v>
      </c>
    </row>
    <row r="292" spans="1:9" ht="32">
      <c r="A292" s="642"/>
      <c r="B292" s="381"/>
      <c r="C292" s="443" t="s">
        <v>2947</v>
      </c>
      <c r="D292" s="420" t="s">
        <v>2948</v>
      </c>
      <c r="E292" s="380" t="s">
        <v>3665</v>
      </c>
      <c r="F292" s="443" t="s">
        <v>2241</v>
      </c>
      <c r="G292" s="521">
        <v>754</v>
      </c>
      <c r="H292" s="519"/>
      <c r="I292" s="537">
        <v>287</v>
      </c>
    </row>
    <row r="293" spans="1:9" ht="32">
      <c r="A293" s="642"/>
      <c r="B293" s="381"/>
      <c r="C293" s="443" t="s">
        <v>2951</v>
      </c>
      <c r="D293" s="420" t="s">
        <v>2952</v>
      </c>
      <c r="E293" s="380" t="s">
        <v>3666</v>
      </c>
      <c r="F293" s="443" t="s">
        <v>2241</v>
      </c>
      <c r="G293" s="521">
        <v>886</v>
      </c>
      <c r="H293" s="519"/>
      <c r="I293" s="537">
        <v>337</v>
      </c>
    </row>
    <row r="294" spans="1:9" ht="32">
      <c r="A294" s="642"/>
      <c r="B294" s="381"/>
      <c r="C294" s="443" t="s">
        <v>2955</v>
      </c>
      <c r="D294" s="420" t="s">
        <v>2956</v>
      </c>
      <c r="E294" s="380" t="s">
        <v>3667</v>
      </c>
      <c r="F294" s="443" t="s">
        <v>2241</v>
      </c>
      <c r="G294" s="521">
        <v>1337</v>
      </c>
      <c r="H294" s="519"/>
      <c r="I294" s="537">
        <v>509</v>
      </c>
    </row>
    <row r="295" spans="1:9" ht="32">
      <c r="A295" s="642"/>
      <c r="B295" s="381"/>
      <c r="C295" s="443" t="s">
        <v>2959</v>
      </c>
      <c r="D295" s="420" t="s">
        <v>2960</v>
      </c>
      <c r="E295" s="380" t="s">
        <v>3668</v>
      </c>
      <c r="F295" s="443" t="s">
        <v>2241</v>
      </c>
      <c r="G295" s="521">
        <v>1588</v>
      </c>
      <c r="H295" s="519"/>
      <c r="I295" s="537">
        <v>604</v>
      </c>
    </row>
    <row r="296" spans="1:9" ht="15">
      <c r="A296" s="429" t="s">
        <v>2962</v>
      </c>
      <c r="B296" s="381"/>
      <c r="C296" s="443" t="s">
        <v>2963</v>
      </c>
      <c r="D296" s="451">
        <v>17226000005739</v>
      </c>
      <c r="E296" s="381" t="s">
        <v>2962</v>
      </c>
      <c r="F296" s="443"/>
      <c r="G296" s="521">
        <v>303</v>
      </c>
      <c r="H296" s="519"/>
      <c r="I296" s="537">
        <v>116</v>
      </c>
    </row>
    <row r="297" spans="1:9">
      <c r="A297" s="643" t="s">
        <v>2964</v>
      </c>
      <c r="B297" s="454"/>
      <c r="C297" s="443" t="s">
        <v>2965</v>
      </c>
      <c r="D297" s="451">
        <v>22012000000233</v>
      </c>
      <c r="E297" s="382" t="s">
        <v>3669</v>
      </c>
      <c r="F297" s="443"/>
      <c r="G297" s="521">
        <v>788</v>
      </c>
      <c r="H297" s="519"/>
      <c r="I297" s="537">
        <v>300</v>
      </c>
    </row>
    <row r="298" spans="1:9">
      <c r="A298" s="643"/>
      <c r="B298" s="454"/>
      <c r="C298" s="443" t="s">
        <v>2966</v>
      </c>
      <c r="D298" s="451">
        <v>22012000000232</v>
      </c>
      <c r="E298" s="382" t="s">
        <v>3670</v>
      </c>
      <c r="F298" s="443"/>
      <c r="G298" s="521">
        <v>828</v>
      </c>
      <c r="H298" s="519"/>
      <c r="I298" s="537">
        <v>315</v>
      </c>
    </row>
    <row r="299" spans="1:9">
      <c r="A299" s="643"/>
      <c r="B299" s="454"/>
      <c r="C299" s="443" t="s">
        <v>2967</v>
      </c>
      <c r="D299" s="451">
        <v>22012000000231</v>
      </c>
      <c r="E299" s="382" t="s">
        <v>3671</v>
      </c>
      <c r="F299" s="443"/>
      <c r="G299" s="521">
        <v>926</v>
      </c>
      <c r="H299" s="519"/>
      <c r="I299" s="537">
        <v>352</v>
      </c>
    </row>
    <row r="300" spans="1:9">
      <c r="A300" s="643"/>
      <c r="B300" s="454"/>
      <c r="C300" s="443" t="s">
        <v>2968</v>
      </c>
      <c r="D300" s="451">
        <v>22012000000234</v>
      </c>
      <c r="E300" s="382" t="s">
        <v>3672</v>
      </c>
      <c r="F300" s="443"/>
      <c r="G300" s="521">
        <v>1028</v>
      </c>
      <c r="H300" s="519"/>
      <c r="I300" s="537">
        <v>391</v>
      </c>
    </row>
    <row r="301" spans="1:9" s="457" customFormat="1">
      <c r="A301" s="455"/>
      <c r="B301" s="456"/>
      <c r="C301" s="443" t="s">
        <v>2969</v>
      </c>
      <c r="D301" s="451">
        <v>22012000000271</v>
      </c>
      <c r="E301" s="383" t="s">
        <v>3673</v>
      </c>
      <c r="F301" s="455"/>
      <c r="G301" s="521">
        <v>1365</v>
      </c>
      <c r="H301" s="519"/>
      <c r="I301" s="537">
        <v>519</v>
      </c>
    </row>
    <row r="302" spans="1:9">
      <c r="A302" s="443" t="s">
        <v>2970</v>
      </c>
      <c r="B302" s="458"/>
      <c r="C302" s="453" t="s">
        <v>2971</v>
      </c>
      <c r="D302" s="451" t="s">
        <v>2972</v>
      </c>
      <c r="E302" s="381"/>
      <c r="F302" s="443"/>
      <c r="G302" s="521">
        <v>412</v>
      </c>
      <c r="H302" s="519"/>
      <c r="I302" s="537">
        <v>157</v>
      </c>
    </row>
    <row r="303" spans="1:9" ht="30">
      <c r="A303" s="642" t="s">
        <v>2973</v>
      </c>
      <c r="B303" s="458"/>
      <c r="C303" s="429" t="s">
        <v>2974</v>
      </c>
      <c r="D303" s="378" t="s">
        <v>2975</v>
      </c>
      <c r="E303" s="378" t="s">
        <v>2976</v>
      </c>
      <c r="F303" s="443"/>
      <c r="G303" s="521">
        <v>200</v>
      </c>
      <c r="H303" s="519"/>
      <c r="I303" s="537">
        <v>76</v>
      </c>
    </row>
    <row r="304" spans="1:9" ht="30">
      <c r="A304" s="642"/>
      <c r="B304" s="458"/>
      <c r="C304" s="429" t="s">
        <v>2977</v>
      </c>
      <c r="D304" s="378" t="s">
        <v>2978</v>
      </c>
      <c r="E304" s="378" t="s">
        <v>2979</v>
      </c>
      <c r="F304" s="443"/>
      <c r="G304" s="521">
        <v>212</v>
      </c>
      <c r="H304" s="519"/>
      <c r="I304" s="537">
        <v>81</v>
      </c>
    </row>
    <row r="305" spans="1:9" ht="30">
      <c r="A305" s="642"/>
      <c r="B305" s="458"/>
      <c r="C305" s="429" t="s">
        <v>2980</v>
      </c>
      <c r="D305" s="378" t="s">
        <v>2981</v>
      </c>
      <c r="E305" s="378" t="s">
        <v>2982</v>
      </c>
      <c r="F305" s="443"/>
      <c r="G305" s="521">
        <v>223</v>
      </c>
      <c r="H305" s="519"/>
      <c r="I305" s="537">
        <v>85</v>
      </c>
    </row>
    <row r="306" spans="1:9">
      <c r="A306" s="443" t="s">
        <v>2983</v>
      </c>
      <c r="B306" s="458"/>
      <c r="C306" s="443" t="s">
        <v>2984</v>
      </c>
      <c r="D306" s="459" t="s">
        <v>2985</v>
      </c>
      <c r="E306" s="384"/>
      <c r="F306" s="443"/>
      <c r="G306" s="521">
        <v>160</v>
      </c>
      <c r="H306" s="519"/>
      <c r="I306" s="537">
        <v>61</v>
      </c>
    </row>
  </sheetData>
  <mergeCells count="81">
    <mergeCell ref="A3:A19"/>
    <mergeCell ref="A20:A37"/>
    <mergeCell ref="A38:A49"/>
    <mergeCell ref="A50:A58"/>
    <mergeCell ref="A59:A67"/>
    <mergeCell ref="A122:A134"/>
    <mergeCell ref="A135:A139"/>
    <mergeCell ref="A140:A147"/>
    <mergeCell ref="A148:A155"/>
    <mergeCell ref="A156:A163"/>
    <mergeCell ref="A68:A77"/>
    <mergeCell ref="A78:A87"/>
    <mergeCell ref="A88:A96"/>
    <mergeCell ref="A97:A111"/>
    <mergeCell ref="A112:A121"/>
    <mergeCell ref="B3:B19"/>
    <mergeCell ref="B20:B37"/>
    <mergeCell ref="B38:B49"/>
    <mergeCell ref="B50:B58"/>
    <mergeCell ref="B59:B67"/>
    <mergeCell ref="A283:A287"/>
    <mergeCell ref="A288:A295"/>
    <mergeCell ref="A297:A300"/>
    <mergeCell ref="A303:A305"/>
    <mergeCell ref="A257:A260"/>
    <mergeCell ref="A262:A270"/>
    <mergeCell ref="A271:A277"/>
    <mergeCell ref="A278:A279"/>
    <mergeCell ref="A281:A282"/>
    <mergeCell ref="A204:A210"/>
    <mergeCell ref="A211:A226"/>
    <mergeCell ref="A227:A236"/>
    <mergeCell ref="A237:A244"/>
    <mergeCell ref="A245:A256"/>
    <mergeCell ref="A164:A170"/>
    <mergeCell ref="A171:A179"/>
    <mergeCell ref="A180:A189"/>
    <mergeCell ref="A190:A196"/>
    <mergeCell ref="A197:A203"/>
    <mergeCell ref="E3:E19"/>
    <mergeCell ref="E20:E37"/>
    <mergeCell ref="E38:E49"/>
    <mergeCell ref="E50:E58"/>
    <mergeCell ref="E59:E67"/>
    <mergeCell ref="B204:B210"/>
    <mergeCell ref="B211:B226"/>
    <mergeCell ref="B227:B236"/>
    <mergeCell ref="B237:B244"/>
    <mergeCell ref="B164:B170"/>
    <mergeCell ref="B171:B179"/>
    <mergeCell ref="B180:B186"/>
    <mergeCell ref="B190:B196"/>
    <mergeCell ref="B197:B203"/>
    <mergeCell ref="B97:B111"/>
    <mergeCell ref="B112:B121"/>
    <mergeCell ref="B122:B134"/>
    <mergeCell ref="B148:B155"/>
    <mergeCell ref="B156:B163"/>
    <mergeCell ref="B68:B71"/>
    <mergeCell ref="B72:B77"/>
    <mergeCell ref="B78:B81"/>
    <mergeCell ref="B82:B87"/>
    <mergeCell ref="B88:B96"/>
    <mergeCell ref="E68:E77"/>
    <mergeCell ref="E78:E87"/>
    <mergeCell ref="E88:E94"/>
    <mergeCell ref="E97:E108"/>
    <mergeCell ref="E112:E121"/>
    <mergeCell ref="E122:E134"/>
    <mergeCell ref="E135:E139"/>
    <mergeCell ref="E140:E147"/>
    <mergeCell ref="E148:E155"/>
    <mergeCell ref="E204:E210"/>
    <mergeCell ref="E156:E163"/>
    <mergeCell ref="E211:E226"/>
    <mergeCell ref="E227:E236"/>
    <mergeCell ref="E164:E169"/>
    <mergeCell ref="E171:E177"/>
    <mergeCell ref="E180:E186"/>
    <mergeCell ref="E190:E196"/>
    <mergeCell ref="E197:E203"/>
  </mergeCells>
  <phoneticPr fontId="46" type="noConversion"/>
  <pageMargins left="0.7" right="0.7" top="0.75" bottom="0.75" header="0.3" footer="0.3"/>
  <pageSetup paperSize="9" scale="3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6"/>
  <sheetViews>
    <sheetView zoomScaleNormal="100" workbookViewId="0">
      <pane ySplit="1" topLeftCell="A2" activePane="bottomLeft" state="frozen"/>
      <selection pane="bottomLeft" activeCell="C4" sqref="C4"/>
    </sheetView>
  </sheetViews>
  <sheetFormatPr baseColWidth="10" defaultColWidth="9" defaultRowHeight="14"/>
  <cols>
    <col min="1" max="1" width="24.6640625" style="267" customWidth="1"/>
    <col min="2" max="2" width="21.1640625" style="267" customWidth="1"/>
    <col min="3" max="3" width="23" style="289" customWidth="1"/>
    <col min="4" max="4" width="37.5" style="247" customWidth="1"/>
    <col min="5" max="5" width="9.6640625" style="321" customWidth="1"/>
    <col min="6" max="6" width="18.6640625" style="267" bestFit="1" customWidth="1"/>
    <col min="7" max="7" width="1.83203125" style="267" customWidth="1"/>
    <col min="8" max="8" width="10.83203125" style="267" customWidth="1"/>
    <col min="9" max="16384" width="9" style="267"/>
  </cols>
  <sheetData>
    <row r="1" spans="1:8" s="247" customFormat="1" ht="43.25" customHeight="1">
      <c r="A1" s="461" t="s">
        <v>2236</v>
      </c>
      <c r="B1" s="461" t="s">
        <v>3902</v>
      </c>
      <c r="C1" s="462" t="s">
        <v>2237</v>
      </c>
      <c r="D1" s="463" t="s">
        <v>2238</v>
      </c>
      <c r="E1" s="464" t="s">
        <v>2239</v>
      </c>
      <c r="F1" s="516" t="s">
        <v>4077</v>
      </c>
      <c r="G1" s="488"/>
      <c r="H1" s="492" t="s">
        <v>4078</v>
      </c>
    </row>
    <row r="2" spans="1:8" s="247" customFormat="1" ht="27.75" customHeight="1">
      <c r="A2" s="665" t="s">
        <v>2240</v>
      </c>
      <c r="B2" s="379" t="s">
        <v>82</v>
      </c>
      <c r="C2" s="386">
        <v>22027020001825</v>
      </c>
      <c r="D2" s="663" t="s">
        <v>4069</v>
      </c>
      <c r="E2" s="387">
        <v>25.2</v>
      </c>
      <c r="F2" s="521">
        <v>18161</v>
      </c>
      <c r="G2" s="489"/>
      <c r="H2" s="571">
        <v>6902</v>
      </c>
    </row>
    <row r="3" spans="1:8" s="247" customFormat="1" ht="27.75" customHeight="1">
      <c r="A3" s="665"/>
      <c r="B3" s="379" t="s">
        <v>84</v>
      </c>
      <c r="C3" s="386" t="s">
        <v>85</v>
      </c>
      <c r="D3" s="663"/>
      <c r="E3" s="387">
        <v>28</v>
      </c>
      <c r="F3" s="521">
        <v>18788</v>
      </c>
      <c r="G3" s="490"/>
      <c r="H3" s="571">
        <v>7140</v>
      </c>
    </row>
    <row r="4" spans="1:8" s="247" customFormat="1" ht="27.75" customHeight="1">
      <c r="A4" s="665"/>
      <c r="B4" s="379" t="s">
        <v>86</v>
      </c>
      <c r="C4" s="386" t="s">
        <v>87</v>
      </c>
      <c r="D4" s="663"/>
      <c r="E4" s="387">
        <v>33.5</v>
      </c>
      <c r="F4" s="521">
        <v>21318</v>
      </c>
      <c r="H4" s="571">
        <v>8101</v>
      </c>
    </row>
    <row r="5" spans="1:8" s="247" customFormat="1" ht="27.75" customHeight="1">
      <c r="A5" s="665"/>
      <c r="B5" s="379" t="s">
        <v>88</v>
      </c>
      <c r="C5" s="386" t="s">
        <v>89</v>
      </c>
      <c r="D5" s="663"/>
      <c r="E5" s="387">
        <v>40</v>
      </c>
      <c r="F5" s="521">
        <v>24488</v>
      </c>
      <c r="H5" s="571">
        <v>9306</v>
      </c>
    </row>
    <row r="6" spans="1:8" s="247" customFormat="1" ht="27.75" customHeight="1">
      <c r="A6" s="665"/>
      <c r="B6" s="379" t="s">
        <v>90</v>
      </c>
      <c r="C6" s="386" t="s">
        <v>91</v>
      </c>
      <c r="D6" s="663"/>
      <c r="E6" s="387">
        <v>45</v>
      </c>
      <c r="F6" s="521">
        <v>25759</v>
      </c>
      <c r="H6" s="571">
        <v>9789</v>
      </c>
    </row>
    <row r="7" spans="1:8" s="247" customFormat="1" ht="27.75" customHeight="1">
      <c r="A7" s="665"/>
      <c r="B7" s="379" t="s">
        <v>92</v>
      </c>
      <c r="C7" s="386" t="s">
        <v>93</v>
      </c>
      <c r="D7" s="663"/>
      <c r="E7" s="387">
        <v>50</v>
      </c>
      <c r="F7" s="521">
        <v>27018</v>
      </c>
      <c r="H7" s="571">
        <v>10267</v>
      </c>
    </row>
    <row r="8" spans="1:8" s="247" customFormat="1" ht="27.75" customHeight="1">
      <c r="A8" s="665"/>
      <c r="B8" s="379" t="s">
        <v>94</v>
      </c>
      <c r="C8" s="386" t="s">
        <v>95</v>
      </c>
      <c r="D8" s="663"/>
      <c r="E8" s="387">
        <v>56</v>
      </c>
      <c r="F8" s="521">
        <v>28917</v>
      </c>
      <c r="H8" s="571">
        <v>10989</v>
      </c>
    </row>
    <row r="9" spans="1:8" s="247" customFormat="1" ht="23.25" customHeight="1">
      <c r="A9" s="665" t="s">
        <v>4070</v>
      </c>
      <c r="B9" s="379" t="s">
        <v>1062</v>
      </c>
      <c r="C9" s="386" t="s">
        <v>2242</v>
      </c>
      <c r="D9" s="663" t="s">
        <v>2243</v>
      </c>
      <c r="E9" s="387">
        <v>20</v>
      </c>
      <c r="F9" s="521">
        <v>8100</v>
      </c>
      <c r="H9" s="571">
        <v>3078</v>
      </c>
    </row>
    <row r="10" spans="1:8" s="247" customFormat="1" ht="23.25" customHeight="1">
      <c r="A10" s="665"/>
      <c r="B10" s="379" t="s">
        <v>1065</v>
      </c>
      <c r="C10" s="386" t="s">
        <v>2244</v>
      </c>
      <c r="D10" s="663"/>
      <c r="E10" s="387">
        <v>22.4</v>
      </c>
      <c r="F10" s="521">
        <v>8357</v>
      </c>
      <c r="H10" s="571">
        <v>3176</v>
      </c>
    </row>
    <row r="11" spans="1:8" s="247" customFormat="1" ht="23.25" customHeight="1">
      <c r="A11" s="665"/>
      <c r="B11" s="379" t="s">
        <v>1067</v>
      </c>
      <c r="C11" s="386" t="s">
        <v>2245</v>
      </c>
      <c r="D11" s="663"/>
      <c r="E11" s="387">
        <v>26</v>
      </c>
      <c r="F11" s="521">
        <v>8642</v>
      </c>
      <c r="H11" s="571">
        <v>3284</v>
      </c>
    </row>
    <row r="12" spans="1:8" s="247" customFormat="1" ht="23.25" customHeight="1">
      <c r="A12" s="665"/>
      <c r="B12" s="379" t="s">
        <v>1069</v>
      </c>
      <c r="C12" s="386" t="s">
        <v>2246</v>
      </c>
      <c r="D12" s="663"/>
      <c r="E12" s="387">
        <v>28</v>
      </c>
      <c r="F12" s="521">
        <v>8995</v>
      </c>
      <c r="H12" s="571">
        <v>3419</v>
      </c>
    </row>
    <row r="13" spans="1:8" s="247" customFormat="1" ht="23.25" customHeight="1">
      <c r="A13" s="665"/>
      <c r="B13" s="379" t="s">
        <v>1071</v>
      </c>
      <c r="C13" s="386" t="s">
        <v>2247</v>
      </c>
      <c r="D13" s="663"/>
      <c r="E13" s="387">
        <v>33.5</v>
      </c>
      <c r="F13" s="521">
        <v>10449</v>
      </c>
      <c r="H13" s="571">
        <v>3971</v>
      </c>
    </row>
    <row r="14" spans="1:8" s="317" customFormat="1" ht="15">
      <c r="A14" s="663" t="s">
        <v>2248</v>
      </c>
      <c r="B14" s="378" t="s">
        <v>2249</v>
      </c>
      <c r="C14" s="388" t="s">
        <v>2250</v>
      </c>
      <c r="D14" s="663"/>
      <c r="E14" s="387">
        <v>20</v>
      </c>
      <c r="F14" s="521">
        <v>6476</v>
      </c>
      <c r="H14" s="571">
        <v>2461</v>
      </c>
    </row>
    <row r="15" spans="1:8" s="247" customFormat="1" ht="14.25" customHeight="1">
      <c r="A15" s="663"/>
      <c r="B15" s="378" t="s">
        <v>2252</v>
      </c>
      <c r="C15" s="388">
        <v>22027020001946</v>
      </c>
      <c r="D15" s="663"/>
      <c r="E15" s="387">
        <v>22.4</v>
      </c>
      <c r="F15" s="521">
        <v>6658</v>
      </c>
      <c r="H15" s="571">
        <v>2531</v>
      </c>
    </row>
    <row r="16" spans="1:8" s="317" customFormat="1" ht="14.25" customHeight="1">
      <c r="A16" s="663"/>
      <c r="B16" s="378" t="s">
        <v>2253</v>
      </c>
      <c r="C16" s="388" t="s">
        <v>2254</v>
      </c>
      <c r="D16" s="663"/>
      <c r="E16" s="387">
        <v>26</v>
      </c>
      <c r="F16" s="521">
        <v>6732</v>
      </c>
      <c r="H16" s="571">
        <v>2559</v>
      </c>
    </row>
    <row r="17" spans="1:8" s="247" customFormat="1" ht="15" customHeight="1">
      <c r="A17" s="663"/>
      <c r="B17" s="378" t="s">
        <v>2255</v>
      </c>
      <c r="C17" s="388" t="s">
        <v>2256</v>
      </c>
      <c r="D17" s="663"/>
      <c r="E17" s="387">
        <v>28</v>
      </c>
      <c r="F17" s="521">
        <v>6778</v>
      </c>
      <c r="H17" s="571">
        <v>2576</v>
      </c>
    </row>
    <row r="18" spans="1:8" s="247" customFormat="1" ht="21" customHeight="1">
      <c r="A18" s="665" t="s">
        <v>2257</v>
      </c>
      <c r="B18" s="378" t="s">
        <v>120</v>
      </c>
      <c r="C18" s="388" t="s">
        <v>121</v>
      </c>
      <c r="D18" s="663" t="s">
        <v>2258</v>
      </c>
      <c r="E18" s="387">
        <v>25.2</v>
      </c>
      <c r="F18" s="521">
        <v>13048</v>
      </c>
      <c r="H18" s="571">
        <v>4959</v>
      </c>
    </row>
    <row r="19" spans="1:8" s="247" customFormat="1" ht="21" customHeight="1">
      <c r="A19" s="665"/>
      <c r="B19" s="378" t="s">
        <v>122</v>
      </c>
      <c r="C19" s="388" t="s">
        <v>123</v>
      </c>
      <c r="D19" s="663"/>
      <c r="E19" s="387">
        <v>28</v>
      </c>
      <c r="F19" s="521">
        <v>13897</v>
      </c>
      <c r="H19" s="571">
        <v>5281</v>
      </c>
    </row>
    <row r="20" spans="1:8" s="247" customFormat="1" ht="21" customHeight="1">
      <c r="A20" s="665"/>
      <c r="B20" s="378" t="s">
        <v>124</v>
      </c>
      <c r="C20" s="388" t="s">
        <v>125</v>
      </c>
      <c r="D20" s="663"/>
      <c r="E20" s="387">
        <v>33.5</v>
      </c>
      <c r="F20" s="521">
        <v>14929</v>
      </c>
      <c r="H20" s="571">
        <v>5674</v>
      </c>
    </row>
    <row r="21" spans="1:8" s="247" customFormat="1" ht="12.75" customHeight="1">
      <c r="A21" s="665" t="s">
        <v>2259</v>
      </c>
      <c r="B21" s="379" t="s">
        <v>748</v>
      </c>
      <c r="C21" s="386">
        <v>22010200000195</v>
      </c>
      <c r="D21" s="378" t="s">
        <v>2260</v>
      </c>
      <c r="E21" s="387" t="s">
        <v>2241</v>
      </c>
      <c r="F21" s="521">
        <v>2303</v>
      </c>
      <c r="H21" s="571">
        <v>876</v>
      </c>
    </row>
    <row r="22" spans="1:8" s="247" customFormat="1" ht="15">
      <c r="A22" s="665"/>
      <c r="B22" s="379" t="s">
        <v>2261</v>
      </c>
      <c r="C22" s="386">
        <v>22010200000219</v>
      </c>
      <c r="D22" s="378" t="s">
        <v>2262</v>
      </c>
      <c r="E22" s="387" t="s">
        <v>2241</v>
      </c>
      <c r="F22" s="521">
        <v>4549</v>
      </c>
      <c r="H22" s="571">
        <v>1729</v>
      </c>
    </row>
    <row r="23" spans="1:8" s="247" customFormat="1" ht="15">
      <c r="A23" s="665"/>
      <c r="B23" s="379" t="s">
        <v>752</v>
      </c>
      <c r="C23" s="386">
        <v>22010200000218</v>
      </c>
      <c r="D23" s="378" t="s">
        <v>2263</v>
      </c>
      <c r="E23" s="387" t="s">
        <v>2241</v>
      </c>
      <c r="F23" s="521">
        <v>6151</v>
      </c>
      <c r="H23" s="571">
        <v>2338</v>
      </c>
    </row>
    <row r="24" spans="1:8" s="247" customFormat="1" ht="15">
      <c r="A24" s="665"/>
      <c r="B24" s="379" t="s">
        <v>754</v>
      </c>
      <c r="C24" s="386">
        <v>22010200000217</v>
      </c>
      <c r="D24" s="378" t="s">
        <v>2264</v>
      </c>
      <c r="E24" s="387" t="s">
        <v>2241</v>
      </c>
      <c r="F24" s="521">
        <v>7713</v>
      </c>
      <c r="H24" s="571">
        <v>2931</v>
      </c>
    </row>
    <row r="25" spans="1:8" s="247" customFormat="1" ht="15">
      <c r="A25" s="665"/>
      <c r="B25" s="379" t="s">
        <v>2265</v>
      </c>
      <c r="C25" s="386">
        <v>22010200000216</v>
      </c>
      <c r="D25" s="378" t="s">
        <v>2266</v>
      </c>
      <c r="E25" s="387" t="s">
        <v>2241</v>
      </c>
      <c r="F25" s="521">
        <v>9166</v>
      </c>
      <c r="H25" s="571">
        <v>3484</v>
      </c>
    </row>
    <row r="26" spans="1:8" s="247" customFormat="1" ht="15">
      <c r="A26" s="665"/>
      <c r="B26" s="379" t="s">
        <v>2267</v>
      </c>
      <c r="C26" s="386">
        <v>22010200000215</v>
      </c>
      <c r="D26" s="378" t="s">
        <v>2268</v>
      </c>
      <c r="E26" s="387" t="s">
        <v>2241</v>
      </c>
      <c r="F26" s="521">
        <v>10557</v>
      </c>
      <c r="H26" s="571">
        <v>4012</v>
      </c>
    </row>
    <row r="27" spans="1:8" s="247" customFormat="1" ht="13.5" customHeight="1">
      <c r="A27" s="665" t="s">
        <v>2269</v>
      </c>
      <c r="B27" s="379" t="s">
        <v>2270</v>
      </c>
      <c r="C27" s="379" t="s">
        <v>2271</v>
      </c>
      <c r="D27" s="663" t="s">
        <v>2272</v>
      </c>
      <c r="E27" s="387"/>
      <c r="F27" s="521">
        <v>3306</v>
      </c>
      <c r="H27" s="571">
        <v>1257</v>
      </c>
    </row>
    <row r="28" spans="1:8" s="247" customFormat="1" ht="13.5" customHeight="1">
      <c r="A28" s="665"/>
      <c r="B28" s="379" t="s">
        <v>2273</v>
      </c>
      <c r="C28" s="379" t="s">
        <v>2274</v>
      </c>
      <c r="D28" s="663"/>
      <c r="E28" s="387"/>
      <c r="F28" s="521">
        <v>4281</v>
      </c>
      <c r="H28" s="571">
        <v>1627</v>
      </c>
    </row>
    <row r="29" spans="1:8" s="247" customFormat="1" ht="13.5" customHeight="1">
      <c r="A29" s="665"/>
      <c r="B29" s="379" t="s">
        <v>2275</v>
      </c>
      <c r="C29" s="379" t="s">
        <v>2276</v>
      </c>
      <c r="D29" s="663"/>
      <c r="E29" s="387"/>
      <c r="F29" s="521">
        <v>5142</v>
      </c>
      <c r="H29" s="571">
        <v>1954</v>
      </c>
    </row>
    <row r="30" spans="1:8" s="247" customFormat="1" ht="13.5" customHeight="1">
      <c r="A30" s="665"/>
      <c r="B30" s="379" t="s">
        <v>2277</v>
      </c>
      <c r="C30" s="379" t="s">
        <v>2278</v>
      </c>
      <c r="D30" s="663"/>
      <c r="E30" s="387"/>
      <c r="F30" s="521">
        <v>5609</v>
      </c>
      <c r="H30" s="571">
        <v>2132</v>
      </c>
    </row>
    <row r="31" spans="1:8" s="247" customFormat="1" ht="13.5" customHeight="1">
      <c r="A31" s="665"/>
      <c r="B31" s="379" t="s">
        <v>2279</v>
      </c>
      <c r="C31" s="379" t="s">
        <v>2280</v>
      </c>
      <c r="D31" s="663"/>
      <c r="E31" s="387"/>
      <c r="F31" s="521">
        <v>6316</v>
      </c>
      <c r="H31" s="571">
        <v>2401</v>
      </c>
    </row>
    <row r="32" spans="1:8" s="247" customFormat="1" ht="13.5" customHeight="1">
      <c r="A32" s="665"/>
      <c r="B32" s="379" t="s">
        <v>2281</v>
      </c>
      <c r="C32" s="379" t="s">
        <v>2282</v>
      </c>
      <c r="D32" s="663"/>
      <c r="E32" s="387"/>
      <c r="F32" s="521">
        <v>6424</v>
      </c>
      <c r="H32" s="571">
        <v>2442</v>
      </c>
    </row>
    <row r="33" spans="1:8" s="247" customFormat="1" ht="13.5" customHeight="1">
      <c r="A33" s="663" t="s">
        <v>2283</v>
      </c>
      <c r="B33" s="378" t="s">
        <v>721</v>
      </c>
      <c r="C33" s="388" t="s">
        <v>722</v>
      </c>
      <c r="D33" s="663" t="s">
        <v>2284</v>
      </c>
      <c r="E33" s="387" t="s">
        <v>2285</v>
      </c>
      <c r="F33" s="521">
        <v>1437</v>
      </c>
      <c r="H33" s="571">
        <v>547</v>
      </c>
    </row>
    <row r="34" spans="1:8" s="247" customFormat="1" ht="13.5" customHeight="1">
      <c r="A34" s="663"/>
      <c r="B34" s="378" t="s">
        <v>723</v>
      </c>
      <c r="C34" s="388" t="s">
        <v>724</v>
      </c>
      <c r="D34" s="663"/>
      <c r="E34" s="387" t="s">
        <v>2286</v>
      </c>
      <c r="F34" s="521">
        <v>1733</v>
      </c>
      <c r="H34" s="571">
        <v>659</v>
      </c>
    </row>
    <row r="35" spans="1:8" s="247" customFormat="1" ht="13.5" customHeight="1">
      <c r="A35" s="663"/>
      <c r="B35" s="378" t="s">
        <v>725</v>
      </c>
      <c r="C35" s="388" t="s">
        <v>726</v>
      </c>
      <c r="D35" s="663"/>
      <c r="E35" s="387" t="s">
        <v>2287</v>
      </c>
      <c r="F35" s="521">
        <v>2087</v>
      </c>
      <c r="H35" s="571">
        <v>794</v>
      </c>
    </row>
    <row r="36" spans="1:8" s="247" customFormat="1" ht="13.5" customHeight="1">
      <c r="A36" s="663"/>
      <c r="B36" s="378" t="s">
        <v>727</v>
      </c>
      <c r="C36" s="388" t="s">
        <v>728</v>
      </c>
      <c r="D36" s="663"/>
      <c r="E36" s="387" t="s">
        <v>2288</v>
      </c>
      <c r="F36" s="521">
        <v>2879</v>
      </c>
      <c r="H36" s="571">
        <v>1095</v>
      </c>
    </row>
    <row r="37" spans="1:8" s="247" customFormat="1" ht="13.5" customHeight="1">
      <c r="A37" s="663"/>
      <c r="B37" s="378" t="s">
        <v>729</v>
      </c>
      <c r="C37" s="388" t="s">
        <v>730</v>
      </c>
      <c r="D37" s="663"/>
      <c r="E37" s="387" t="s">
        <v>2289</v>
      </c>
      <c r="F37" s="521">
        <v>3740</v>
      </c>
      <c r="H37" s="571">
        <v>1422</v>
      </c>
    </row>
    <row r="38" spans="1:8" s="247" customFormat="1" ht="13.5" customHeight="1">
      <c r="A38" s="663"/>
      <c r="B38" s="378" t="s">
        <v>731</v>
      </c>
      <c r="C38" s="388" t="s">
        <v>732</v>
      </c>
      <c r="D38" s="663"/>
      <c r="E38" s="387" t="s">
        <v>2290</v>
      </c>
      <c r="F38" s="521">
        <v>4367</v>
      </c>
      <c r="H38" s="571">
        <v>1660</v>
      </c>
    </row>
    <row r="39" spans="1:8" s="247" customFormat="1" ht="13.5" customHeight="1">
      <c r="A39" s="663"/>
      <c r="B39" s="378" t="s">
        <v>733</v>
      </c>
      <c r="C39" s="388" t="s">
        <v>734</v>
      </c>
      <c r="D39" s="663" t="s">
        <v>2251</v>
      </c>
      <c r="E39" s="387" t="s">
        <v>2291</v>
      </c>
      <c r="F39" s="521">
        <v>6362</v>
      </c>
      <c r="H39" s="571">
        <v>2418</v>
      </c>
    </row>
    <row r="40" spans="1:8" s="247" customFormat="1" ht="14.25" customHeight="1">
      <c r="A40" s="663"/>
      <c r="B40" s="378" t="s">
        <v>735</v>
      </c>
      <c r="C40" s="388" t="s">
        <v>736</v>
      </c>
      <c r="D40" s="663"/>
      <c r="E40" s="387" t="s">
        <v>2292</v>
      </c>
      <c r="F40" s="521">
        <v>7445</v>
      </c>
      <c r="H40" s="571">
        <v>2830</v>
      </c>
    </row>
    <row r="41" spans="1:8" s="247" customFormat="1" ht="15">
      <c r="A41" s="378" t="s">
        <v>2293</v>
      </c>
      <c r="B41" s="378" t="s">
        <v>2294</v>
      </c>
      <c r="C41" s="388" t="s">
        <v>2295</v>
      </c>
      <c r="D41" s="378" t="s">
        <v>2296</v>
      </c>
      <c r="E41" s="387"/>
      <c r="F41" s="521">
        <v>109</v>
      </c>
      <c r="H41" s="571">
        <v>42</v>
      </c>
    </row>
    <row r="42" spans="1:8" ht="15">
      <c r="A42" s="663"/>
      <c r="B42" s="379" t="s">
        <v>764</v>
      </c>
      <c r="C42" s="386">
        <v>17317000002875</v>
      </c>
      <c r="D42" s="378" t="s">
        <v>2297</v>
      </c>
      <c r="E42" s="387" t="s">
        <v>2241</v>
      </c>
      <c r="F42" s="521">
        <v>97</v>
      </c>
      <c r="H42" s="571">
        <v>37</v>
      </c>
    </row>
    <row r="43" spans="1:8" ht="15">
      <c r="A43" s="663"/>
      <c r="B43" s="379" t="s">
        <v>769</v>
      </c>
      <c r="C43" s="386">
        <v>17317100000108</v>
      </c>
      <c r="D43" s="378" t="s">
        <v>2298</v>
      </c>
      <c r="E43" s="387" t="s">
        <v>2241</v>
      </c>
      <c r="F43" s="521">
        <v>251</v>
      </c>
      <c r="H43" s="571">
        <v>96</v>
      </c>
    </row>
    <row r="44" spans="1:8" ht="15">
      <c r="A44" s="663"/>
      <c r="B44" s="379" t="s">
        <v>771</v>
      </c>
      <c r="C44" s="386">
        <v>17317100000027</v>
      </c>
      <c r="D44" s="378" t="s">
        <v>2299</v>
      </c>
      <c r="E44" s="387"/>
      <c r="F44" s="521">
        <v>120</v>
      </c>
      <c r="H44" s="571">
        <v>46</v>
      </c>
    </row>
    <row r="45" spans="1:8">
      <c r="A45" s="663"/>
      <c r="B45" s="379" t="s">
        <v>2300</v>
      </c>
      <c r="C45" s="386" t="s">
        <v>3873</v>
      </c>
      <c r="D45" s="378"/>
      <c r="E45" s="387"/>
      <c r="F45" s="521">
        <v>576</v>
      </c>
      <c r="H45" s="571">
        <v>219</v>
      </c>
    </row>
    <row r="46" spans="1:8">
      <c r="A46" s="663"/>
      <c r="B46" s="379" t="s">
        <v>773</v>
      </c>
      <c r="C46" s="386" t="s">
        <v>2301</v>
      </c>
      <c r="D46" s="378"/>
      <c r="E46" s="387"/>
      <c r="F46" s="521">
        <v>576</v>
      </c>
      <c r="H46" s="571">
        <v>219</v>
      </c>
    </row>
    <row r="47" spans="1:8" ht="15">
      <c r="A47" s="663"/>
      <c r="B47" s="379" t="s">
        <v>775</v>
      </c>
      <c r="C47" s="386"/>
      <c r="D47" s="378" t="s">
        <v>2302</v>
      </c>
      <c r="E47" s="387" t="s">
        <v>2241</v>
      </c>
      <c r="F47" s="521">
        <v>519</v>
      </c>
      <c r="H47" s="571">
        <v>198</v>
      </c>
    </row>
    <row r="48" spans="1:8" ht="15">
      <c r="A48" s="663"/>
      <c r="B48" s="388" t="s">
        <v>778</v>
      </c>
      <c r="C48" s="388">
        <v>17311500000071</v>
      </c>
      <c r="D48" s="378" t="s">
        <v>2303</v>
      </c>
      <c r="E48" s="387"/>
      <c r="F48" s="521">
        <v>325</v>
      </c>
      <c r="H48" s="571">
        <v>124</v>
      </c>
    </row>
    <row r="49" spans="1:8" ht="15">
      <c r="A49" s="663"/>
      <c r="B49" s="388" t="s">
        <v>780</v>
      </c>
      <c r="C49" s="388"/>
      <c r="D49" s="388" t="s">
        <v>2304</v>
      </c>
      <c r="E49" s="387" t="s">
        <v>2241</v>
      </c>
      <c r="F49" s="521">
        <v>114</v>
      </c>
      <c r="H49" s="571">
        <v>44</v>
      </c>
    </row>
    <row r="50" spans="1:8" ht="15">
      <c r="A50" s="663"/>
      <c r="B50" s="379" t="s">
        <v>786</v>
      </c>
      <c r="C50" s="386"/>
      <c r="D50" s="378" t="s">
        <v>2305</v>
      </c>
      <c r="E50" s="387" t="s">
        <v>2241</v>
      </c>
      <c r="F50" s="521">
        <v>377</v>
      </c>
      <c r="H50" s="571">
        <v>144</v>
      </c>
    </row>
    <row r="51" spans="1:8" ht="15">
      <c r="A51" s="663"/>
      <c r="B51" s="378" t="s">
        <v>2306</v>
      </c>
      <c r="C51" s="388">
        <v>17211200003281</v>
      </c>
      <c r="D51" s="379" t="s">
        <v>2307</v>
      </c>
      <c r="E51" s="387"/>
      <c r="F51" s="521">
        <v>5438</v>
      </c>
      <c r="H51" s="571">
        <v>2067</v>
      </c>
    </row>
    <row r="52" spans="1:8" ht="15">
      <c r="A52" s="663"/>
      <c r="B52" s="388" t="s">
        <v>2308</v>
      </c>
      <c r="C52" s="388">
        <v>17211200002582</v>
      </c>
      <c r="D52" s="379" t="s">
        <v>2309</v>
      </c>
      <c r="E52" s="387"/>
      <c r="F52" s="521">
        <v>8117</v>
      </c>
      <c r="H52" s="571">
        <v>3085</v>
      </c>
    </row>
    <row r="53" spans="1:8" ht="15">
      <c r="A53" s="663"/>
      <c r="B53" s="388" t="s">
        <v>2310</v>
      </c>
      <c r="C53" s="388">
        <v>17211200003282</v>
      </c>
      <c r="D53" s="378" t="s">
        <v>2311</v>
      </c>
      <c r="E53" s="387"/>
      <c r="F53" s="521">
        <v>855</v>
      </c>
      <c r="H53" s="571">
        <v>325</v>
      </c>
    </row>
    <row r="54" spans="1:8" ht="15">
      <c r="A54" s="663"/>
      <c r="B54" s="388" t="s">
        <v>801</v>
      </c>
      <c r="C54" s="388"/>
      <c r="D54" s="378" t="s">
        <v>2312</v>
      </c>
      <c r="E54" s="387"/>
      <c r="F54" s="521">
        <v>8169</v>
      </c>
      <c r="H54" s="571">
        <v>3105</v>
      </c>
    </row>
    <row r="55" spans="1:8" ht="15">
      <c r="A55" s="663"/>
      <c r="B55" s="388" t="s">
        <v>802</v>
      </c>
      <c r="C55" s="388"/>
      <c r="D55" s="379" t="s">
        <v>2313</v>
      </c>
      <c r="E55" s="387"/>
      <c r="F55" s="521">
        <v>5450</v>
      </c>
      <c r="H55" s="571">
        <v>2071</v>
      </c>
    </row>
    <row r="56" spans="1:8" ht="15">
      <c r="A56" s="378"/>
      <c r="B56" s="388" t="s">
        <v>929</v>
      </c>
      <c r="C56" s="388">
        <v>17317100003095</v>
      </c>
      <c r="D56" s="379" t="s">
        <v>2314</v>
      </c>
      <c r="E56" s="387"/>
      <c r="F56" s="521">
        <v>109</v>
      </c>
      <c r="H56" s="571">
        <v>42</v>
      </c>
    </row>
    <row r="57" spans="1:8" ht="15">
      <c r="A57" s="378"/>
      <c r="B57" s="388" t="s">
        <v>2315</v>
      </c>
      <c r="C57" s="388">
        <v>17511100000227</v>
      </c>
      <c r="D57" s="379" t="s">
        <v>2316</v>
      </c>
      <c r="E57" s="387"/>
      <c r="F57" s="521">
        <v>702</v>
      </c>
      <c r="H57" s="571">
        <v>267</v>
      </c>
    </row>
    <row r="58" spans="1:8" ht="23.25" customHeight="1">
      <c r="A58" s="378"/>
      <c r="B58" s="388" t="s">
        <v>953</v>
      </c>
      <c r="C58" s="388" t="s">
        <v>2317</v>
      </c>
      <c r="D58" s="379" t="s">
        <v>3639</v>
      </c>
      <c r="E58" s="387"/>
      <c r="F58" s="521">
        <v>793</v>
      </c>
      <c r="H58" s="571">
        <v>302</v>
      </c>
    </row>
    <row r="59" spans="1:8" ht="15">
      <c r="A59" s="663" t="s">
        <v>2318</v>
      </c>
      <c r="B59" s="378" t="s">
        <v>825</v>
      </c>
      <c r="C59" s="388">
        <v>22012000000004</v>
      </c>
      <c r="D59" s="378" t="s">
        <v>2319</v>
      </c>
      <c r="E59" s="387"/>
      <c r="F59" s="521">
        <v>246</v>
      </c>
      <c r="H59" s="571">
        <v>94</v>
      </c>
    </row>
    <row r="60" spans="1:8" ht="15">
      <c r="A60" s="663"/>
      <c r="B60" s="378" t="s">
        <v>827</v>
      </c>
      <c r="C60" s="388">
        <v>22012000000007</v>
      </c>
      <c r="D60" s="378" t="s">
        <v>2320</v>
      </c>
      <c r="E60" s="387"/>
      <c r="F60" s="521">
        <v>274</v>
      </c>
      <c r="H60" s="571">
        <v>105</v>
      </c>
    </row>
    <row r="61" spans="1:8" ht="15">
      <c r="A61" s="663" t="s">
        <v>2321</v>
      </c>
      <c r="B61" s="379" t="s">
        <v>875</v>
      </c>
      <c r="C61" s="386"/>
      <c r="D61" s="663" t="s">
        <v>4071</v>
      </c>
      <c r="E61" s="387" t="s">
        <v>2241</v>
      </c>
      <c r="F61" s="521">
        <v>268</v>
      </c>
      <c r="H61" s="571">
        <v>102</v>
      </c>
    </row>
    <row r="62" spans="1:8" ht="15">
      <c r="A62" s="663"/>
      <c r="B62" s="379" t="s">
        <v>878</v>
      </c>
      <c r="C62" s="386"/>
      <c r="D62" s="663"/>
      <c r="E62" s="387" t="s">
        <v>2241</v>
      </c>
      <c r="F62" s="521">
        <v>513</v>
      </c>
      <c r="H62" s="571">
        <v>195</v>
      </c>
    </row>
    <row r="63" spans="1:8" ht="15">
      <c r="A63" s="663"/>
      <c r="B63" s="379" t="s">
        <v>881</v>
      </c>
      <c r="C63" s="386"/>
      <c r="D63" s="663"/>
      <c r="E63" s="387" t="s">
        <v>2241</v>
      </c>
      <c r="F63" s="521">
        <v>964</v>
      </c>
      <c r="H63" s="571">
        <v>367</v>
      </c>
    </row>
    <row r="64" spans="1:8" ht="15">
      <c r="A64" s="663"/>
      <c r="B64" s="379" t="s">
        <v>2322</v>
      </c>
      <c r="C64" s="392" t="s">
        <v>885</v>
      </c>
      <c r="D64" s="663" t="s">
        <v>4072</v>
      </c>
      <c r="E64" s="387" t="s">
        <v>2241</v>
      </c>
      <c r="F64" s="521">
        <v>109</v>
      </c>
      <c r="H64" s="571">
        <v>42</v>
      </c>
    </row>
    <row r="65" spans="1:8" ht="15">
      <c r="A65" s="663"/>
      <c r="B65" s="379" t="s">
        <v>2323</v>
      </c>
      <c r="C65" s="392" t="s">
        <v>887</v>
      </c>
      <c r="D65" s="663"/>
      <c r="E65" s="387" t="s">
        <v>2241</v>
      </c>
      <c r="F65" s="521">
        <v>120</v>
      </c>
      <c r="H65" s="571">
        <v>46</v>
      </c>
    </row>
    <row r="66" spans="1:8" ht="15">
      <c r="A66" s="663"/>
      <c r="B66" s="379" t="s">
        <v>2324</v>
      </c>
      <c r="C66" s="392" t="s">
        <v>889</v>
      </c>
      <c r="D66" s="663"/>
      <c r="E66" s="387" t="s">
        <v>2241</v>
      </c>
      <c r="F66" s="521">
        <v>234</v>
      </c>
      <c r="H66" s="571">
        <v>89</v>
      </c>
    </row>
    <row r="67" spans="1:8" ht="15">
      <c r="A67" s="663"/>
      <c r="B67" s="379" t="s">
        <v>2325</v>
      </c>
      <c r="C67" s="392" t="s">
        <v>891</v>
      </c>
      <c r="D67" s="663"/>
      <c r="E67" s="387" t="s">
        <v>2241</v>
      </c>
      <c r="F67" s="521">
        <v>388</v>
      </c>
      <c r="H67" s="571">
        <v>148</v>
      </c>
    </row>
    <row r="68" spans="1:8" ht="15">
      <c r="A68" s="663"/>
      <c r="B68" s="379" t="s">
        <v>2326</v>
      </c>
      <c r="C68" s="392" t="s">
        <v>893</v>
      </c>
      <c r="D68" s="663"/>
      <c r="E68" s="387" t="s">
        <v>2241</v>
      </c>
      <c r="F68" s="521">
        <v>405</v>
      </c>
      <c r="H68" s="571">
        <v>154</v>
      </c>
    </row>
    <row r="69" spans="1:8" ht="15">
      <c r="A69" s="663"/>
      <c r="B69" s="379" t="s">
        <v>2327</v>
      </c>
      <c r="C69" s="392" t="s">
        <v>895</v>
      </c>
      <c r="D69" s="663"/>
      <c r="E69" s="387" t="s">
        <v>2241</v>
      </c>
      <c r="F69" s="521">
        <v>513</v>
      </c>
      <c r="H69" s="571">
        <v>195</v>
      </c>
    </row>
    <row r="70" spans="1:8">
      <c r="A70" s="663"/>
      <c r="B70" s="379" t="s">
        <v>896</v>
      </c>
      <c r="C70" s="392">
        <v>15111700001468</v>
      </c>
      <c r="D70" s="664" t="s">
        <v>2328</v>
      </c>
      <c r="E70" s="387"/>
      <c r="F70" s="521">
        <v>576</v>
      </c>
      <c r="H70" s="571">
        <v>219</v>
      </c>
    </row>
    <row r="71" spans="1:8">
      <c r="A71" s="663"/>
      <c r="B71" s="379" t="s">
        <v>898</v>
      </c>
      <c r="C71" s="392">
        <v>15111700001467</v>
      </c>
      <c r="D71" s="664"/>
      <c r="E71" s="387"/>
      <c r="F71" s="521">
        <v>1015</v>
      </c>
      <c r="H71" s="571">
        <v>386</v>
      </c>
    </row>
    <row r="72" spans="1:8">
      <c r="A72" s="663"/>
      <c r="B72" s="379" t="s">
        <v>900</v>
      </c>
      <c r="C72" s="392">
        <v>15111700000307</v>
      </c>
      <c r="D72" s="664" t="s">
        <v>2329</v>
      </c>
      <c r="E72" s="387"/>
      <c r="F72" s="521">
        <v>49</v>
      </c>
      <c r="H72" s="571">
        <v>19</v>
      </c>
    </row>
    <row r="73" spans="1:8">
      <c r="A73" s="663"/>
      <c r="B73" s="379" t="s">
        <v>902</v>
      </c>
      <c r="C73" s="392">
        <v>15111700000341</v>
      </c>
      <c r="D73" s="664"/>
      <c r="E73" s="387"/>
      <c r="F73" s="521">
        <v>92</v>
      </c>
      <c r="H73" s="571">
        <v>35</v>
      </c>
    </row>
    <row r="74" spans="1:8">
      <c r="A74" s="663"/>
      <c r="B74" s="379" t="s">
        <v>904</v>
      </c>
      <c r="C74" s="392">
        <v>15111700000277</v>
      </c>
      <c r="D74" s="664"/>
      <c r="E74" s="387"/>
      <c r="F74" s="521">
        <v>149</v>
      </c>
      <c r="H74" s="571">
        <v>57</v>
      </c>
    </row>
    <row r="75" spans="1:8">
      <c r="A75" s="663"/>
      <c r="B75" s="379" t="s">
        <v>906</v>
      </c>
      <c r="C75" s="392">
        <v>15111700000265</v>
      </c>
      <c r="D75" s="664"/>
      <c r="E75" s="387"/>
      <c r="F75" s="521">
        <v>166</v>
      </c>
      <c r="H75" s="571">
        <v>64</v>
      </c>
    </row>
    <row r="76" spans="1:8" ht="45">
      <c r="A76" s="378"/>
      <c r="B76" s="379" t="s">
        <v>908</v>
      </c>
      <c r="C76" s="392">
        <v>17126000003949</v>
      </c>
      <c r="D76" s="393" t="s">
        <v>2330</v>
      </c>
      <c r="E76" s="387"/>
      <c r="F76" s="521">
        <v>211</v>
      </c>
      <c r="H76" s="571">
        <v>81</v>
      </c>
    </row>
    <row r="77" spans="1:8" ht="30">
      <c r="A77" s="378"/>
      <c r="B77" s="379" t="s">
        <v>910</v>
      </c>
      <c r="C77" s="392">
        <v>17227000003201</v>
      </c>
      <c r="D77" s="393" t="s">
        <v>2331</v>
      </c>
      <c r="E77" s="387"/>
      <c r="F77" s="521">
        <v>228</v>
      </c>
      <c r="H77" s="571">
        <v>87</v>
      </c>
    </row>
    <row r="78" spans="1:8" ht="15">
      <c r="A78" s="378"/>
      <c r="B78" s="379" t="s">
        <v>2332</v>
      </c>
      <c r="C78" s="393">
        <v>17211300000229</v>
      </c>
      <c r="D78" s="393" t="s">
        <v>2333</v>
      </c>
      <c r="E78" s="387"/>
      <c r="F78" s="521">
        <v>114</v>
      </c>
      <c r="H78" s="571">
        <v>44</v>
      </c>
    </row>
    <row r="79" spans="1:8" ht="15">
      <c r="A79" s="378"/>
      <c r="B79" s="379" t="s">
        <v>2334</v>
      </c>
      <c r="C79" s="392">
        <v>17211300000231</v>
      </c>
      <c r="D79" s="393" t="s">
        <v>2333</v>
      </c>
      <c r="E79" s="387"/>
      <c r="F79" s="521">
        <v>171</v>
      </c>
      <c r="H79" s="571">
        <v>65</v>
      </c>
    </row>
    <row r="80" spans="1:8" ht="30">
      <c r="A80" s="663" t="s">
        <v>2335</v>
      </c>
      <c r="B80" s="378" t="s">
        <v>2336</v>
      </c>
      <c r="C80" s="388">
        <v>22012900002830</v>
      </c>
      <c r="D80" s="378" t="s">
        <v>2337</v>
      </c>
      <c r="E80" s="387" t="s">
        <v>2241</v>
      </c>
      <c r="F80" s="521">
        <v>337</v>
      </c>
      <c r="H80" s="571">
        <v>129</v>
      </c>
    </row>
    <row r="81" spans="1:8" ht="15">
      <c r="A81" s="663"/>
      <c r="B81" s="378" t="s">
        <v>912</v>
      </c>
      <c r="C81" s="388">
        <v>12112900000382</v>
      </c>
      <c r="D81" s="378" t="s">
        <v>2338</v>
      </c>
      <c r="E81" s="387" t="s">
        <v>2241</v>
      </c>
      <c r="F81" s="521">
        <v>126</v>
      </c>
      <c r="H81" s="571">
        <v>48</v>
      </c>
    </row>
    <row r="82" spans="1:8" ht="30">
      <c r="A82" s="663"/>
      <c r="B82" s="378" t="s">
        <v>915</v>
      </c>
      <c r="C82" s="388">
        <v>22012900002851</v>
      </c>
      <c r="D82" s="378" t="s">
        <v>2339</v>
      </c>
      <c r="E82" s="387"/>
      <c r="F82" s="521">
        <v>223</v>
      </c>
      <c r="H82" s="571">
        <v>85</v>
      </c>
    </row>
    <row r="83" spans="1:8" ht="15">
      <c r="A83" s="663"/>
      <c r="B83" s="378" t="s">
        <v>579</v>
      </c>
      <c r="C83" s="388" t="s">
        <v>581</v>
      </c>
      <c r="D83" s="378" t="s">
        <v>2340</v>
      </c>
      <c r="E83" s="387" t="s">
        <v>2241</v>
      </c>
      <c r="F83" s="521">
        <v>337</v>
      </c>
      <c r="H83" s="571">
        <v>129</v>
      </c>
    </row>
    <row r="84" spans="1:8" ht="15">
      <c r="A84" s="663"/>
      <c r="B84" s="378" t="s">
        <v>917</v>
      </c>
      <c r="C84" s="388">
        <v>22012900002618</v>
      </c>
      <c r="D84" s="378" t="s">
        <v>2341</v>
      </c>
      <c r="E84" s="387"/>
      <c r="F84" s="521">
        <v>513</v>
      </c>
      <c r="H84" s="571">
        <v>195</v>
      </c>
    </row>
    <row r="85" spans="1:8" ht="15">
      <c r="A85" s="663"/>
      <c r="B85" s="378" t="s">
        <v>919</v>
      </c>
      <c r="C85" s="388">
        <v>22012900000410</v>
      </c>
      <c r="D85" s="378" t="s">
        <v>2342</v>
      </c>
      <c r="E85" s="387" t="s">
        <v>2241</v>
      </c>
      <c r="F85" s="521">
        <v>320</v>
      </c>
      <c r="H85" s="571">
        <v>122</v>
      </c>
    </row>
    <row r="86" spans="1:8" ht="15">
      <c r="A86" s="663"/>
      <c r="B86" s="378" t="s">
        <v>922</v>
      </c>
      <c r="C86" s="388">
        <v>12112900000376</v>
      </c>
      <c r="D86" s="378" t="s">
        <v>2343</v>
      </c>
      <c r="E86" s="387" t="s">
        <v>2241</v>
      </c>
      <c r="F86" s="521">
        <v>183</v>
      </c>
      <c r="H86" s="571">
        <v>70</v>
      </c>
    </row>
    <row r="87" spans="1:8" ht="15">
      <c r="A87" s="378"/>
      <c r="B87" s="378" t="s">
        <v>2344</v>
      </c>
      <c r="C87" s="388">
        <v>17111200001461</v>
      </c>
      <c r="D87" s="378" t="s">
        <v>2345</v>
      </c>
      <c r="E87" s="429"/>
      <c r="F87" s="521">
        <v>593</v>
      </c>
      <c r="H87" s="571">
        <v>226</v>
      </c>
    </row>
    <row r="88" spans="1:8" ht="30">
      <c r="A88" s="378"/>
      <c r="B88" s="378" t="s">
        <v>2346</v>
      </c>
      <c r="C88" s="388">
        <v>12126200000334</v>
      </c>
      <c r="D88" s="378" t="s">
        <v>2347</v>
      </c>
      <c r="E88" s="429"/>
      <c r="F88" s="521">
        <v>43</v>
      </c>
      <c r="H88" s="571">
        <v>17</v>
      </c>
    </row>
    <row r="89" spans="1:8" ht="15">
      <c r="A89" s="378"/>
      <c r="B89" s="378" t="s">
        <v>2348</v>
      </c>
      <c r="C89" s="388">
        <v>15426200000368</v>
      </c>
      <c r="D89" s="378" t="s">
        <v>2349</v>
      </c>
      <c r="E89" s="429"/>
      <c r="F89" s="521">
        <v>377</v>
      </c>
      <c r="H89" s="571">
        <v>144</v>
      </c>
    </row>
    <row r="90" spans="1:8" ht="15">
      <c r="A90" s="378"/>
      <c r="B90" s="378" t="s">
        <v>2350</v>
      </c>
      <c r="C90" s="388">
        <v>15426200000389</v>
      </c>
      <c r="D90" s="378" t="s">
        <v>2351</v>
      </c>
      <c r="E90" s="429"/>
      <c r="F90" s="521">
        <v>377</v>
      </c>
      <c r="H90" s="571">
        <v>144</v>
      </c>
    </row>
    <row r="91" spans="1:8" ht="15">
      <c r="A91" s="378"/>
      <c r="B91" s="378" t="s">
        <v>2352</v>
      </c>
      <c r="C91" s="388">
        <v>15426200000350</v>
      </c>
      <c r="D91" s="378" t="s">
        <v>2353</v>
      </c>
      <c r="E91" s="429"/>
      <c r="F91" s="521">
        <v>377</v>
      </c>
      <c r="H91" s="571">
        <v>144</v>
      </c>
    </row>
    <row r="92" spans="1:8" ht="30">
      <c r="A92" s="378"/>
      <c r="B92" s="378" t="s">
        <v>2354</v>
      </c>
      <c r="C92" s="388">
        <v>15426200000390</v>
      </c>
      <c r="D92" s="378" t="s">
        <v>2355</v>
      </c>
      <c r="E92" s="429"/>
      <c r="F92" s="521">
        <v>377</v>
      </c>
      <c r="H92" s="571">
        <v>144</v>
      </c>
    </row>
    <row r="93" spans="1:8" ht="15">
      <c r="A93" s="378"/>
      <c r="B93" s="378" t="s">
        <v>2356</v>
      </c>
      <c r="C93" s="388">
        <v>15426200000331</v>
      </c>
      <c r="D93" s="378" t="s">
        <v>2357</v>
      </c>
      <c r="E93" s="429"/>
      <c r="F93" s="521">
        <v>342</v>
      </c>
      <c r="H93" s="571">
        <v>130</v>
      </c>
    </row>
    <row r="94" spans="1:8" ht="15">
      <c r="A94" s="378"/>
      <c r="B94" s="378" t="s">
        <v>2358</v>
      </c>
      <c r="C94" s="388">
        <v>15426200000305</v>
      </c>
      <c r="D94" s="378" t="s">
        <v>2359</v>
      </c>
      <c r="E94" s="429"/>
      <c r="F94" s="521">
        <v>360</v>
      </c>
      <c r="H94" s="571">
        <v>137</v>
      </c>
    </row>
    <row r="95" spans="1:8" ht="15">
      <c r="A95" s="378"/>
      <c r="B95" s="378" t="s">
        <v>2360</v>
      </c>
      <c r="C95" s="388">
        <v>15426200000351</v>
      </c>
      <c r="D95" s="378" t="s">
        <v>2361</v>
      </c>
      <c r="E95" s="429"/>
      <c r="F95" s="521">
        <v>377</v>
      </c>
      <c r="H95" s="571">
        <v>144</v>
      </c>
    </row>
    <row r="96" spans="1:8" ht="15">
      <c r="A96" s="378"/>
      <c r="B96" s="378" t="s">
        <v>2362</v>
      </c>
      <c r="C96" s="388">
        <v>15426200000336</v>
      </c>
      <c r="D96" s="378" t="s">
        <v>2363</v>
      </c>
      <c r="E96" s="429"/>
      <c r="F96" s="521">
        <v>377</v>
      </c>
      <c r="H96" s="571">
        <v>144</v>
      </c>
    </row>
    <row r="97" spans="1:8" ht="15">
      <c r="A97" s="378"/>
      <c r="B97" s="378" t="s">
        <v>2364</v>
      </c>
      <c r="C97" s="388">
        <v>15426200000492</v>
      </c>
      <c r="D97" s="378" t="s">
        <v>2365</v>
      </c>
      <c r="E97" s="429"/>
      <c r="F97" s="521">
        <v>354</v>
      </c>
      <c r="H97" s="571">
        <v>135</v>
      </c>
    </row>
    <row r="98" spans="1:8" ht="15">
      <c r="A98" s="378"/>
      <c r="B98" s="378" t="s">
        <v>2366</v>
      </c>
      <c r="C98" s="388" t="s">
        <v>2367</v>
      </c>
      <c r="D98" s="378" t="s">
        <v>2368</v>
      </c>
      <c r="E98" s="429"/>
      <c r="F98" s="521">
        <v>354</v>
      </c>
      <c r="H98" s="571">
        <v>135</v>
      </c>
    </row>
    <row r="99" spans="1:8" ht="15">
      <c r="A99" s="378"/>
      <c r="B99" s="378" t="s">
        <v>2369</v>
      </c>
      <c r="C99" s="388">
        <v>15426200000367</v>
      </c>
      <c r="D99" s="378"/>
      <c r="E99" s="429"/>
      <c r="F99" s="521">
        <v>645</v>
      </c>
      <c r="H99" s="571">
        <v>246</v>
      </c>
    </row>
    <row r="100" spans="1:8" ht="15">
      <c r="A100" s="378"/>
      <c r="B100" s="378" t="s">
        <v>2370</v>
      </c>
      <c r="C100" s="388">
        <v>15426200000358</v>
      </c>
      <c r="D100" s="378" t="s">
        <v>2371</v>
      </c>
      <c r="E100" s="429"/>
      <c r="F100" s="521">
        <v>667</v>
      </c>
      <c r="H100" s="571">
        <v>254</v>
      </c>
    </row>
    <row r="101" spans="1:8" ht="15">
      <c r="A101" s="378"/>
      <c r="B101" s="378" t="s">
        <v>2372</v>
      </c>
      <c r="C101" s="388">
        <v>15426200000334</v>
      </c>
      <c r="D101" s="378" t="s">
        <v>2373</v>
      </c>
      <c r="E101" s="429"/>
      <c r="F101" s="521">
        <v>724</v>
      </c>
      <c r="H101" s="571">
        <v>276</v>
      </c>
    </row>
    <row r="102" spans="1:8" ht="15">
      <c r="A102" s="378"/>
      <c r="B102" s="378" t="s">
        <v>843</v>
      </c>
      <c r="C102" s="388">
        <v>15111700001736</v>
      </c>
      <c r="D102" s="378" t="s">
        <v>2374</v>
      </c>
      <c r="E102" s="429"/>
      <c r="F102" s="521">
        <v>109</v>
      </c>
      <c r="H102" s="571">
        <v>42</v>
      </c>
    </row>
    <row r="103" spans="1:8" ht="15">
      <c r="A103" s="378"/>
      <c r="B103" s="378" t="s">
        <v>844</v>
      </c>
      <c r="C103" s="388">
        <v>15111700001738</v>
      </c>
      <c r="D103" s="378" t="s">
        <v>2374</v>
      </c>
      <c r="E103" s="429"/>
      <c r="F103" s="521">
        <v>132</v>
      </c>
      <c r="H103" s="571">
        <v>51</v>
      </c>
    </row>
    <row r="104" spans="1:8" ht="15">
      <c r="A104" s="378"/>
      <c r="B104" s="378" t="s">
        <v>846</v>
      </c>
      <c r="C104" s="388">
        <v>15111700001734</v>
      </c>
      <c r="D104" s="378" t="s">
        <v>2374</v>
      </c>
      <c r="E104" s="429"/>
      <c r="F104" s="521">
        <v>263</v>
      </c>
      <c r="H104" s="571">
        <v>100</v>
      </c>
    </row>
    <row r="105" spans="1:8" ht="15">
      <c r="A105" s="378"/>
      <c r="B105" s="378" t="s">
        <v>848</v>
      </c>
      <c r="C105" s="388">
        <v>15111700001735</v>
      </c>
      <c r="D105" s="378" t="s">
        <v>2374</v>
      </c>
      <c r="E105" s="429"/>
      <c r="F105" s="521">
        <v>348</v>
      </c>
      <c r="H105" s="571">
        <v>133</v>
      </c>
    </row>
    <row r="106" spans="1:8" ht="15">
      <c r="A106" s="378"/>
      <c r="B106" s="378" t="s">
        <v>850</v>
      </c>
      <c r="C106" s="388">
        <v>15111700001737</v>
      </c>
      <c r="D106" s="378" t="s">
        <v>2374</v>
      </c>
      <c r="E106" s="429"/>
      <c r="F106" s="521">
        <v>502</v>
      </c>
      <c r="H106" s="571">
        <v>191</v>
      </c>
    </row>
    <row r="107" spans="1:8" ht="15">
      <c r="A107" s="378"/>
      <c r="B107" s="378" t="s">
        <v>839</v>
      </c>
      <c r="C107" s="388">
        <v>15111700001754</v>
      </c>
      <c r="D107" s="378" t="s">
        <v>2374</v>
      </c>
      <c r="E107" s="429"/>
      <c r="F107" s="521">
        <v>593</v>
      </c>
      <c r="H107" s="571">
        <v>226</v>
      </c>
    </row>
    <row r="108" spans="1:8" ht="15">
      <c r="A108" s="378"/>
      <c r="B108" s="378" t="s">
        <v>841</v>
      </c>
      <c r="C108" s="388">
        <v>15111700001761</v>
      </c>
      <c r="D108" s="378" t="s">
        <v>2374</v>
      </c>
      <c r="E108" s="429"/>
      <c r="F108" s="521">
        <v>1078</v>
      </c>
      <c r="H108" s="571">
        <v>410</v>
      </c>
    </row>
    <row r="109" spans="1:8" ht="15">
      <c r="A109" s="378"/>
      <c r="B109" s="378" t="s">
        <v>2375</v>
      </c>
      <c r="C109" s="388" t="s">
        <v>2376</v>
      </c>
      <c r="D109" s="378"/>
      <c r="E109" s="429"/>
      <c r="F109" s="521">
        <v>234</v>
      </c>
      <c r="H109" s="571">
        <v>89</v>
      </c>
    </row>
    <row r="110" spans="1:8" ht="15">
      <c r="A110" s="378"/>
      <c r="B110" s="378" t="s">
        <v>960</v>
      </c>
      <c r="C110" s="388">
        <v>17317000008018</v>
      </c>
      <c r="D110" s="378"/>
      <c r="E110" s="387"/>
      <c r="F110" s="521">
        <v>63</v>
      </c>
      <c r="H110" s="571">
        <v>24</v>
      </c>
    </row>
    <row r="111" spans="1:8" ht="15">
      <c r="A111" s="663"/>
      <c r="B111" s="378" t="s">
        <v>2377</v>
      </c>
      <c r="C111" s="388">
        <v>17317100004815</v>
      </c>
      <c r="D111" s="378"/>
      <c r="E111" s="387"/>
      <c r="F111" s="521">
        <v>160</v>
      </c>
      <c r="H111" s="571">
        <v>61</v>
      </c>
    </row>
    <row r="112" spans="1:8" ht="15">
      <c r="A112" s="663"/>
      <c r="B112" s="378" t="s">
        <v>763</v>
      </c>
      <c r="C112" s="388">
        <v>17317100004857</v>
      </c>
      <c r="D112" s="378" t="s">
        <v>2378</v>
      </c>
      <c r="E112" s="387"/>
      <c r="F112" s="521">
        <v>120</v>
      </c>
      <c r="H112" s="571">
        <v>46</v>
      </c>
    </row>
    <row r="113" spans="1:8" ht="45">
      <c r="A113" s="663"/>
      <c r="B113" s="378" t="s">
        <v>2379</v>
      </c>
      <c r="C113" s="388">
        <v>17317100002915</v>
      </c>
      <c r="D113" s="378" t="s">
        <v>2380</v>
      </c>
      <c r="E113" s="387"/>
      <c r="F113" s="521">
        <v>382</v>
      </c>
      <c r="H113" s="571">
        <v>146</v>
      </c>
    </row>
    <row r="114" spans="1:8" ht="30">
      <c r="A114" s="663" t="s">
        <v>2381</v>
      </c>
      <c r="B114" s="378" t="s">
        <v>2382</v>
      </c>
      <c r="C114" s="388" t="s">
        <v>2383</v>
      </c>
      <c r="D114" s="378" t="s">
        <v>2384</v>
      </c>
      <c r="E114" s="387"/>
      <c r="F114" s="521">
        <v>2583</v>
      </c>
      <c r="H114" s="571">
        <v>982</v>
      </c>
    </row>
    <row r="115" spans="1:8" ht="15">
      <c r="A115" s="663"/>
      <c r="B115" s="378" t="s">
        <v>2385</v>
      </c>
      <c r="C115" s="388">
        <v>17311500001141</v>
      </c>
      <c r="D115" s="378"/>
      <c r="E115" s="387"/>
      <c r="F115" s="521">
        <v>2520</v>
      </c>
      <c r="H115" s="571">
        <v>958</v>
      </c>
    </row>
    <row r="116" spans="1:8" ht="60">
      <c r="A116" s="663"/>
      <c r="B116" s="378" t="s">
        <v>2386</v>
      </c>
      <c r="C116" s="388">
        <v>17311500001184</v>
      </c>
      <c r="D116" s="378" t="s">
        <v>2387</v>
      </c>
      <c r="E116" s="387"/>
      <c r="F116" s="521">
        <v>8682</v>
      </c>
      <c r="H116" s="571">
        <v>3300</v>
      </c>
    </row>
    <row r="117" spans="1:8" ht="30">
      <c r="A117" s="663" t="s">
        <v>2388</v>
      </c>
      <c r="B117" s="378" t="s">
        <v>2389</v>
      </c>
      <c r="C117" s="388">
        <v>17211200002364</v>
      </c>
      <c r="D117" s="378" t="s">
        <v>2390</v>
      </c>
      <c r="E117" s="387"/>
      <c r="F117" s="521">
        <v>8117</v>
      </c>
      <c r="H117" s="571">
        <v>3085</v>
      </c>
    </row>
    <row r="118" spans="1:8" ht="30">
      <c r="A118" s="663"/>
      <c r="B118" s="378" t="s">
        <v>2391</v>
      </c>
      <c r="C118" s="388">
        <v>17211200002041</v>
      </c>
      <c r="D118" s="378" t="s">
        <v>2392</v>
      </c>
      <c r="E118" s="387"/>
      <c r="F118" s="521">
        <v>8117</v>
      </c>
      <c r="H118" s="571">
        <v>3085</v>
      </c>
    </row>
    <row r="119" spans="1:8" ht="30">
      <c r="A119" s="663"/>
      <c r="B119" s="378" t="s">
        <v>946</v>
      </c>
      <c r="C119" s="388">
        <v>17211200000921</v>
      </c>
      <c r="D119" s="378" t="s">
        <v>2393</v>
      </c>
      <c r="E119" s="387"/>
      <c r="F119" s="521">
        <v>8117</v>
      </c>
      <c r="H119" s="571">
        <v>3085</v>
      </c>
    </row>
    <row r="120" spans="1:8" ht="45">
      <c r="A120" s="663"/>
      <c r="B120" s="378" t="s">
        <v>2394</v>
      </c>
      <c r="C120" s="388">
        <v>17211000000781</v>
      </c>
      <c r="D120" s="378" t="s">
        <v>2395</v>
      </c>
      <c r="E120" s="387"/>
      <c r="F120" s="521">
        <v>6493</v>
      </c>
      <c r="H120" s="571">
        <v>2468</v>
      </c>
    </row>
    <row r="121" spans="1:8" ht="15">
      <c r="A121" s="663"/>
      <c r="B121" s="378" t="s">
        <v>2396</v>
      </c>
      <c r="C121" s="388">
        <v>17210900002678</v>
      </c>
      <c r="D121" s="378" t="s">
        <v>2397</v>
      </c>
      <c r="E121" s="387"/>
      <c r="F121" s="521">
        <v>103</v>
      </c>
      <c r="H121" s="571">
        <v>40</v>
      </c>
    </row>
    <row r="122" spans="1:8" ht="30">
      <c r="A122" s="663"/>
      <c r="B122" s="378" t="s">
        <v>953</v>
      </c>
      <c r="C122" s="388">
        <v>17211200001521</v>
      </c>
      <c r="D122" s="378" t="s">
        <v>2398</v>
      </c>
      <c r="E122" s="387"/>
      <c r="F122" s="521">
        <v>684</v>
      </c>
      <c r="H122" s="571">
        <v>260</v>
      </c>
    </row>
    <row r="123" spans="1:8" ht="15">
      <c r="A123" s="663"/>
      <c r="B123" s="378" t="s">
        <v>955</v>
      </c>
      <c r="C123" s="388">
        <v>17211000000201</v>
      </c>
      <c r="D123" s="378" t="s">
        <v>2399</v>
      </c>
      <c r="E123" s="387"/>
      <c r="F123" s="521">
        <v>838</v>
      </c>
      <c r="H123" s="571">
        <v>319</v>
      </c>
    </row>
    <row r="124" spans="1:8" ht="15">
      <c r="A124" s="663" t="s">
        <v>2400</v>
      </c>
      <c r="B124" s="388" t="s">
        <v>2401</v>
      </c>
      <c r="C124" s="388">
        <v>22012000000004</v>
      </c>
      <c r="D124" s="378" t="s">
        <v>2402</v>
      </c>
      <c r="E124" s="387"/>
      <c r="F124" s="521">
        <v>268</v>
      </c>
      <c r="H124" s="571">
        <v>102</v>
      </c>
    </row>
    <row r="125" spans="1:8" ht="15">
      <c r="A125" s="663"/>
      <c r="B125" s="388" t="s">
        <v>2403</v>
      </c>
      <c r="C125" s="388">
        <v>22012000000007</v>
      </c>
      <c r="D125" s="378" t="s">
        <v>2404</v>
      </c>
      <c r="E125" s="387"/>
      <c r="F125" s="521">
        <v>297</v>
      </c>
      <c r="H125" s="571">
        <v>113</v>
      </c>
    </row>
    <row r="126" spans="1:8">
      <c r="A126" s="287"/>
      <c r="B126" s="287"/>
      <c r="C126" s="287"/>
      <c r="D126" s="287"/>
      <c r="E126" s="320"/>
    </row>
  </sheetData>
  <mergeCells count="26">
    <mergeCell ref="A27:A32"/>
    <mergeCell ref="A33:A40"/>
    <mergeCell ref="A42:A55"/>
    <mergeCell ref="A59:A60"/>
    <mergeCell ref="A2:A8"/>
    <mergeCell ref="A9:A13"/>
    <mergeCell ref="A14:A17"/>
    <mergeCell ref="A18:A20"/>
    <mergeCell ref="A21:A26"/>
    <mergeCell ref="A117:A123"/>
    <mergeCell ref="A124:A125"/>
    <mergeCell ref="A61:A75"/>
    <mergeCell ref="A80:A86"/>
    <mergeCell ref="A111:A113"/>
    <mergeCell ref="A114:A116"/>
    <mergeCell ref="D2:D8"/>
    <mergeCell ref="D9:D13"/>
    <mergeCell ref="D14:D17"/>
    <mergeCell ref="D18:D20"/>
    <mergeCell ref="D27:D32"/>
    <mergeCell ref="D61:D63"/>
    <mergeCell ref="D64:D69"/>
    <mergeCell ref="D70:D71"/>
    <mergeCell ref="D72:D75"/>
    <mergeCell ref="D33:D38"/>
    <mergeCell ref="D39:D40"/>
  </mergeCells>
  <phoneticPr fontId="46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4"/>
  <sheetViews>
    <sheetView showGridLines="0" zoomScale="150" zoomScaleNormal="100" workbookViewId="0">
      <pane ySplit="2" topLeftCell="A3" activePane="bottomLeft" state="frozen"/>
      <selection pane="bottomLeft" activeCell="I2" sqref="I2"/>
    </sheetView>
  </sheetViews>
  <sheetFormatPr baseColWidth="10" defaultColWidth="9" defaultRowHeight="14"/>
  <cols>
    <col min="1" max="1" width="21.1640625" style="247" customWidth="1"/>
    <col min="2" max="2" width="23" style="247" customWidth="1"/>
    <col min="3" max="3" width="21.5" style="301" customWidth="1"/>
    <col min="4" max="4" width="31.6640625" style="247" customWidth="1"/>
    <col min="5" max="5" width="9.6640625" style="268" customWidth="1"/>
    <col min="6" max="6" width="9" style="247"/>
    <col min="7" max="7" width="1.33203125" style="247" customWidth="1"/>
    <col min="8" max="8" width="9" style="498" customWidth="1"/>
    <col min="9" max="9" width="9" style="247" customWidth="1"/>
    <col min="10" max="16384" width="9" style="247"/>
  </cols>
  <sheetData>
    <row r="1" spans="1:9">
      <c r="F1" s="491"/>
      <c r="G1" s="488"/>
      <c r="H1" s="529">
        <v>0.38</v>
      </c>
    </row>
    <row r="2" spans="1:9" ht="47.5" customHeight="1">
      <c r="A2" s="363" t="s">
        <v>2236</v>
      </c>
      <c r="B2" s="363" t="s">
        <v>2986</v>
      </c>
      <c r="C2" s="364" t="s">
        <v>2237</v>
      </c>
      <c r="D2" s="363" t="s">
        <v>2238</v>
      </c>
      <c r="E2" s="363" t="s">
        <v>2987</v>
      </c>
      <c r="F2" s="492" t="s">
        <v>4077</v>
      </c>
      <c r="G2" s="489"/>
      <c r="H2" s="492" t="s">
        <v>4078</v>
      </c>
      <c r="I2" s="427" t="s">
        <v>4085</v>
      </c>
    </row>
    <row r="3" spans="1:9">
      <c r="A3" s="677" t="s">
        <v>4080</v>
      </c>
      <c r="B3" s="323" t="s">
        <v>3875</v>
      </c>
      <c r="C3" s="324">
        <v>22027020002147</v>
      </c>
      <c r="D3" s="676" t="s">
        <v>3854</v>
      </c>
      <c r="E3" s="340">
        <v>3.5</v>
      </c>
      <c r="F3" s="493">
        <v>2229</v>
      </c>
      <c r="G3" s="490"/>
      <c r="H3" s="539">
        <v>848</v>
      </c>
    </row>
    <row r="4" spans="1:9">
      <c r="A4" s="677"/>
      <c r="B4" s="325" t="s">
        <v>3876</v>
      </c>
      <c r="C4" s="326">
        <v>22027020002146</v>
      </c>
      <c r="D4" s="676"/>
      <c r="E4" s="341">
        <v>5.3</v>
      </c>
      <c r="F4" s="493">
        <v>2400</v>
      </c>
      <c r="G4" s="490"/>
      <c r="H4" s="539">
        <v>912</v>
      </c>
    </row>
    <row r="5" spans="1:9">
      <c r="A5" s="677"/>
      <c r="B5" s="325" t="s">
        <v>3877</v>
      </c>
      <c r="C5" s="326">
        <v>22027020002145</v>
      </c>
      <c r="D5" s="676"/>
      <c r="E5" s="341">
        <v>6.2</v>
      </c>
      <c r="F5" s="493">
        <v>2571</v>
      </c>
      <c r="G5" s="490"/>
      <c r="H5" s="539">
        <v>977</v>
      </c>
    </row>
    <row r="6" spans="1:9">
      <c r="A6" s="677"/>
      <c r="B6" s="323" t="s">
        <v>3878</v>
      </c>
      <c r="C6" s="324" t="s">
        <v>2271</v>
      </c>
      <c r="D6" s="676"/>
      <c r="E6" s="340">
        <v>8</v>
      </c>
      <c r="F6" s="493">
        <v>2994</v>
      </c>
      <c r="G6" s="490"/>
      <c r="H6" s="539">
        <v>1138</v>
      </c>
    </row>
    <row r="7" spans="1:9">
      <c r="A7" s="677"/>
      <c r="B7" s="325" t="s">
        <v>3879</v>
      </c>
      <c r="C7" s="326" t="s">
        <v>2988</v>
      </c>
      <c r="D7" s="676"/>
      <c r="E7" s="341">
        <v>10.5</v>
      </c>
      <c r="F7" s="493">
        <v>3537</v>
      </c>
      <c r="G7" s="490"/>
      <c r="H7" s="539">
        <v>1345</v>
      </c>
    </row>
    <row r="8" spans="1:9">
      <c r="A8" s="677"/>
      <c r="B8" s="325" t="s">
        <v>3880</v>
      </c>
      <c r="C8" s="326" t="s">
        <v>2989</v>
      </c>
      <c r="D8" s="676"/>
      <c r="E8" s="341">
        <v>12</v>
      </c>
      <c r="F8" s="493">
        <v>4067</v>
      </c>
      <c r="G8" s="490"/>
      <c r="H8" s="539">
        <v>1546</v>
      </c>
    </row>
    <row r="9" spans="1:9">
      <c r="A9" s="677"/>
      <c r="B9" s="325" t="s">
        <v>3942</v>
      </c>
      <c r="C9" s="326" t="s">
        <v>2278</v>
      </c>
      <c r="D9" s="676"/>
      <c r="E9" s="341">
        <v>14</v>
      </c>
      <c r="F9" s="493">
        <v>4357</v>
      </c>
      <c r="G9" s="490"/>
      <c r="H9" s="539">
        <v>1656</v>
      </c>
    </row>
    <row r="10" spans="1:9">
      <c r="A10" s="677"/>
      <c r="B10" s="325" t="s">
        <v>3943</v>
      </c>
      <c r="C10" s="326" t="s">
        <v>2280</v>
      </c>
      <c r="D10" s="676"/>
      <c r="E10" s="341">
        <v>16</v>
      </c>
      <c r="F10" s="493">
        <v>4908</v>
      </c>
      <c r="G10" s="490"/>
      <c r="H10" s="539">
        <v>1866</v>
      </c>
    </row>
    <row r="11" spans="1:9">
      <c r="A11" s="677"/>
      <c r="B11" s="325" t="s">
        <v>3944</v>
      </c>
      <c r="C11" s="326" t="s">
        <v>2282</v>
      </c>
      <c r="D11" s="676"/>
      <c r="E11" s="341">
        <v>18</v>
      </c>
      <c r="F11" s="493">
        <v>5984</v>
      </c>
      <c r="G11" s="490"/>
      <c r="H11" s="539">
        <v>2274</v>
      </c>
    </row>
    <row r="12" spans="1:9">
      <c r="A12" s="677"/>
      <c r="B12" s="325" t="s">
        <v>3945</v>
      </c>
      <c r="C12" s="328" t="s">
        <v>3745</v>
      </c>
      <c r="D12" s="676"/>
      <c r="E12" s="342">
        <v>20</v>
      </c>
      <c r="F12" s="493">
        <v>6246</v>
      </c>
      <c r="G12" s="490"/>
      <c r="H12" s="539">
        <v>2374</v>
      </c>
    </row>
    <row r="13" spans="1:9">
      <c r="A13" s="663" t="s">
        <v>3002</v>
      </c>
      <c r="B13" s="290" t="s">
        <v>3003</v>
      </c>
      <c r="C13" s="291">
        <v>15111700001940</v>
      </c>
      <c r="D13" s="269" t="s">
        <v>3004</v>
      </c>
      <c r="E13" s="258" t="s">
        <v>2241</v>
      </c>
      <c r="F13" s="493">
        <v>160</v>
      </c>
      <c r="G13" s="490"/>
      <c r="H13" s="539">
        <v>61</v>
      </c>
    </row>
    <row r="14" spans="1:9">
      <c r="A14" s="663"/>
      <c r="B14" s="290" t="s">
        <v>3005</v>
      </c>
      <c r="C14" s="291">
        <v>15111700001936</v>
      </c>
      <c r="D14" s="269" t="s">
        <v>3004</v>
      </c>
      <c r="E14" s="258" t="s">
        <v>2241</v>
      </c>
      <c r="F14" s="493">
        <v>223</v>
      </c>
      <c r="G14" s="490"/>
      <c r="H14" s="539">
        <v>85</v>
      </c>
    </row>
    <row r="15" spans="1:9">
      <c r="A15" s="663"/>
      <c r="B15" s="290" t="s">
        <v>3006</v>
      </c>
      <c r="C15" s="291">
        <v>15111700001942</v>
      </c>
      <c r="D15" s="269" t="s">
        <v>3004</v>
      </c>
      <c r="E15" s="258" t="s">
        <v>2241</v>
      </c>
      <c r="F15" s="493">
        <v>280</v>
      </c>
      <c r="G15" s="490"/>
      <c r="H15" s="539">
        <v>107</v>
      </c>
    </row>
    <row r="16" spans="1:9">
      <c r="A16" s="663"/>
      <c r="B16" s="325" t="s">
        <v>3007</v>
      </c>
      <c r="C16" s="326">
        <v>15111700001934</v>
      </c>
      <c r="D16" s="329" t="s">
        <v>3004</v>
      </c>
      <c r="E16" s="318" t="s">
        <v>2241</v>
      </c>
      <c r="F16" s="493">
        <v>320</v>
      </c>
      <c r="G16" s="490"/>
      <c r="H16" s="539">
        <v>122</v>
      </c>
    </row>
    <row r="17" spans="1:11">
      <c r="A17" s="663"/>
      <c r="B17" s="325" t="s">
        <v>3008</v>
      </c>
      <c r="C17" s="326">
        <v>15111700001938</v>
      </c>
      <c r="D17" s="329" t="s">
        <v>3004</v>
      </c>
      <c r="E17" s="318" t="s">
        <v>2241</v>
      </c>
      <c r="F17" s="493">
        <v>377</v>
      </c>
      <c r="G17" s="490"/>
      <c r="H17" s="539">
        <v>144</v>
      </c>
    </row>
    <row r="18" spans="1:11">
      <c r="A18" s="379"/>
      <c r="B18" s="325" t="s">
        <v>960</v>
      </c>
      <c r="C18" s="326">
        <v>17317000008018</v>
      </c>
      <c r="D18" s="329"/>
      <c r="E18" s="318" t="s">
        <v>2241</v>
      </c>
      <c r="F18" s="493">
        <v>63</v>
      </c>
      <c r="G18" s="490"/>
      <c r="H18" s="539">
        <v>24</v>
      </c>
    </row>
    <row r="19" spans="1:11">
      <c r="A19" s="394"/>
      <c r="B19" s="327" t="s">
        <v>929</v>
      </c>
      <c r="C19" s="330">
        <v>17317100003095</v>
      </c>
      <c r="D19" s="331"/>
      <c r="E19" s="318" t="s">
        <v>2241</v>
      </c>
      <c r="F19" s="493">
        <v>109</v>
      </c>
      <c r="G19" s="490"/>
      <c r="H19" s="539">
        <v>42</v>
      </c>
    </row>
    <row r="20" spans="1:11" s="243" customFormat="1" ht="15">
      <c r="A20" s="663" t="s">
        <v>3009</v>
      </c>
      <c r="B20" s="315" t="s">
        <v>3010</v>
      </c>
      <c r="C20" s="316" t="s">
        <v>738</v>
      </c>
      <c r="D20" s="315" t="s">
        <v>3011</v>
      </c>
      <c r="E20" s="318" t="s">
        <v>2241</v>
      </c>
      <c r="F20" s="493">
        <v>759</v>
      </c>
      <c r="G20" s="490"/>
      <c r="H20" s="539">
        <v>289</v>
      </c>
      <c r="I20" s="247"/>
      <c r="J20" s="247"/>
    </row>
    <row r="21" spans="1:11" s="243" customFormat="1" ht="16" thickBot="1">
      <c r="A21" s="663"/>
      <c r="B21" s="315" t="s">
        <v>3012</v>
      </c>
      <c r="C21" s="316" t="s">
        <v>740</v>
      </c>
      <c r="D21" s="315" t="s">
        <v>3013</v>
      </c>
      <c r="E21" s="343" t="s">
        <v>2241</v>
      </c>
      <c r="F21" s="493">
        <v>764</v>
      </c>
      <c r="G21" s="490"/>
      <c r="H21" s="539">
        <v>291</v>
      </c>
      <c r="I21" s="247"/>
      <c r="J21" s="247"/>
    </row>
    <row r="22" spans="1:11" ht="15">
      <c r="A22" s="678" t="s">
        <v>3014</v>
      </c>
      <c r="B22" s="333" t="s">
        <v>3015</v>
      </c>
      <c r="C22" s="334">
        <v>22027020003085</v>
      </c>
      <c r="D22" s="335"/>
      <c r="E22" s="344">
        <v>8</v>
      </c>
      <c r="F22" s="493">
        <v>2862</v>
      </c>
      <c r="G22" s="490"/>
      <c r="H22" s="539">
        <v>1088</v>
      </c>
      <c r="K22" s="243"/>
    </row>
    <row r="23" spans="1:11" ht="15">
      <c r="A23" s="679"/>
      <c r="B23" s="294" t="s">
        <v>3016</v>
      </c>
      <c r="C23" s="295" t="s">
        <v>3017</v>
      </c>
      <c r="D23" s="246"/>
      <c r="E23" s="345">
        <v>10</v>
      </c>
      <c r="F23" s="493">
        <v>3643</v>
      </c>
      <c r="G23" s="490"/>
      <c r="H23" s="539">
        <v>1385</v>
      </c>
      <c r="K23" s="243"/>
    </row>
    <row r="24" spans="1:11" ht="15">
      <c r="A24" s="679"/>
      <c r="B24" s="294" t="s">
        <v>3018</v>
      </c>
      <c r="C24" s="295">
        <v>22027020003006</v>
      </c>
      <c r="D24" s="246"/>
      <c r="E24" s="345">
        <v>12</v>
      </c>
      <c r="F24" s="493">
        <v>4378</v>
      </c>
      <c r="G24" s="490"/>
      <c r="H24" s="539">
        <v>1664</v>
      </c>
      <c r="K24" s="243"/>
    </row>
    <row r="25" spans="1:11" ht="15">
      <c r="A25" s="679"/>
      <c r="B25" s="294" t="s">
        <v>3019</v>
      </c>
      <c r="C25" s="295">
        <v>22027020003005</v>
      </c>
      <c r="D25" s="246"/>
      <c r="E25" s="345">
        <v>14</v>
      </c>
      <c r="F25" s="493">
        <v>4783</v>
      </c>
      <c r="G25" s="490"/>
      <c r="H25" s="539">
        <v>1818</v>
      </c>
      <c r="K25" s="243"/>
    </row>
    <row r="26" spans="1:11" ht="16" thickBot="1">
      <c r="A26" s="680"/>
      <c r="B26" s="296" t="s">
        <v>3020</v>
      </c>
      <c r="C26" s="297">
        <v>22027020003007</v>
      </c>
      <c r="D26" s="300"/>
      <c r="E26" s="346">
        <v>16</v>
      </c>
      <c r="F26" s="493">
        <v>5381</v>
      </c>
      <c r="G26" s="490"/>
      <c r="H26" s="539">
        <v>2045</v>
      </c>
      <c r="K26" s="243"/>
    </row>
    <row r="27" spans="1:11" ht="15">
      <c r="A27" s="678" t="s">
        <v>3021</v>
      </c>
      <c r="B27" s="292" t="s">
        <v>3022</v>
      </c>
      <c r="C27" s="293">
        <v>22025314000831</v>
      </c>
      <c r="D27" s="298"/>
      <c r="E27" s="347" t="s">
        <v>3023</v>
      </c>
      <c r="F27" s="493">
        <v>10642</v>
      </c>
      <c r="G27" s="490"/>
      <c r="H27" s="539">
        <v>4044</v>
      </c>
      <c r="K27" s="243"/>
    </row>
    <row r="28" spans="1:11" ht="15">
      <c r="A28" s="679"/>
      <c r="B28" s="294" t="s">
        <v>3024</v>
      </c>
      <c r="C28" s="295">
        <v>22025314000832</v>
      </c>
      <c r="D28" s="246"/>
      <c r="E28" s="345" t="s">
        <v>3025</v>
      </c>
      <c r="F28" s="493">
        <v>12438</v>
      </c>
      <c r="G28" s="490"/>
      <c r="H28" s="539">
        <v>4727</v>
      </c>
      <c r="K28" s="243"/>
    </row>
    <row r="29" spans="1:11" ht="15">
      <c r="A29" s="395" t="s">
        <v>3026</v>
      </c>
      <c r="B29" s="294" t="s">
        <v>3027</v>
      </c>
      <c r="C29" s="295">
        <v>22025314000811</v>
      </c>
      <c r="D29" s="246"/>
      <c r="E29" s="345">
        <v>16</v>
      </c>
      <c r="F29" s="493">
        <v>5871</v>
      </c>
      <c r="G29" s="490"/>
      <c r="H29" s="539">
        <v>2231</v>
      </c>
      <c r="K29" s="243"/>
    </row>
    <row r="30" spans="1:11" ht="15">
      <c r="A30" s="395" t="s">
        <v>3028</v>
      </c>
      <c r="B30" s="294" t="s">
        <v>3029</v>
      </c>
      <c r="C30" s="295">
        <v>22012000000191</v>
      </c>
      <c r="D30" s="246"/>
      <c r="E30" s="345">
        <v>12.3</v>
      </c>
      <c r="F30" s="493">
        <v>816</v>
      </c>
      <c r="G30" s="490"/>
      <c r="H30" s="539">
        <v>311</v>
      </c>
      <c r="K30" s="243"/>
    </row>
    <row r="31" spans="1:11" ht="15">
      <c r="A31" s="679" t="s">
        <v>3030</v>
      </c>
      <c r="B31" s="294" t="s">
        <v>3031</v>
      </c>
      <c r="C31" s="295">
        <v>22025331000101</v>
      </c>
      <c r="D31" s="246"/>
      <c r="E31" s="258" t="s">
        <v>2241</v>
      </c>
      <c r="F31" s="493">
        <v>2235</v>
      </c>
      <c r="G31" s="490"/>
      <c r="H31" s="539">
        <v>850</v>
      </c>
      <c r="K31" s="243"/>
    </row>
    <row r="32" spans="1:11" ht="16" thickBot="1">
      <c r="A32" s="681"/>
      <c r="B32" s="311" t="s">
        <v>3032</v>
      </c>
      <c r="C32" s="312">
        <v>22025331000081</v>
      </c>
      <c r="D32" s="300"/>
      <c r="E32" s="348" t="s">
        <v>2241</v>
      </c>
      <c r="F32" s="493">
        <v>2719</v>
      </c>
      <c r="G32" s="490"/>
      <c r="H32" s="539">
        <v>1034</v>
      </c>
      <c r="K32" s="243"/>
    </row>
    <row r="33" spans="1:11" ht="12.75" customHeight="1">
      <c r="A33" s="673" t="s">
        <v>3033</v>
      </c>
      <c r="B33" s="246" t="s">
        <v>3034</v>
      </c>
      <c r="C33" s="288">
        <v>22027020003467</v>
      </c>
      <c r="D33" s="669" t="s">
        <v>3744</v>
      </c>
      <c r="E33" s="349">
        <v>8</v>
      </c>
      <c r="F33" s="493">
        <v>2337</v>
      </c>
      <c r="G33" s="490"/>
      <c r="H33" s="539">
        <v>889</v>
      </c>
      <c r="K33" s="243"/>
    </row>
    <row r="34" spans="1:11">
      <c r="A34" s="674"/>
      <c r="B34" s="246" t="s">
        <v>3035</v>
      </c>
      <c r="C34" s="288" t="s">
        <v>3036</v>
      </c>
      <c r="D34" s="667"/>
      <c r="E34" s="258">
        <v>10</v>
      </c>
      <c r="F34" s="493">
        <v>3033</v>
      </c>
      <c r="G34" s="490"/>
      <c r="H34" s="539">
        <v>1153</v>
      </c>
      <c r="K34" s="243"/>
    </row>
    <row r="35" spans="1:11">
      <c r="A35" s="674"/>
      <c r="B35" s="246" t="s">
        <v>3037</v>
      </c>
      <c r="C35" s="288" t="s">
        <v>3038</v>
      </c>
      <c r="D35" s="667"/>
      <c r="E35" s="258">
        <v>12</v>
      </c>
      <c r="F35" s="493">
        <v>3648</v>
      </c>
      <c r="G35" s="490"/>
      <c r="H35" s="539">
        <v>1387</v>
      </c>
      <c r="K35" s="243"/>
    </row>
    <row r="36" spans="1:11">
      <c r="A36" s="674"/>
      <c r="B36" s="246" t="s">
        <v>3039</v>
      </c>
      <c r="C36" s="288" t="s">
        <v>3040</v>
      </c>
      <c r="D36" s="667"/>
      <c r="E36" s="258">
        <v>14</v>
      </c>
      <c r="F36" s="493">
        <v>3985</v>
      </c>
      <c r="G36" s="490"/>
      <c r="H36" s="539">
        <v>1515</v>
      </c>
      <c r="K36" s="243"/>
    </row>
    <row r="37" spans="1:11">
      <c r="A37" s="674"/>
      <c r="B37" s="246" t="s">
        <v>3041</v>
      </c>
      <c r="C37" s="288" t="s">
        <v>3042</v>
      </c>
      <c r="D37" s="667"/>
      <c r="E37" s="258">
        <v>16</v>
      </c>
      <c r="F37" s="493">
        <v>4486</v>
      </c>
      <c r="G37" s="490"/>
      <c r="H37" s="539">
        <v>1705</v>
      </c>
      <c r="K37" s="243"/>
    </row>
    <row r="38" spans="1:11">
      <c r="A38" s="675"/>
      <c r="B38" s="246" t="s">
        <v>3043</v>
      </c>
      <c r="C38" s="288" t="s">
        <v>3044</v>
      </c>
      <c r="D38" s="668"/>
      <c r="E38" s="313">
        <v>18</v>
      </c>
      <c r="F38" s="493">
        <v>5370</v>
      </c>
      <c r="G38" s="490"/>
      <c r="H38" s="539">
        <v>2041</v>
      </c>
      <c r="K38" s="243"/>
    </row>
    <row r="39" spans="1:11">
      <c r="A39" s="672" t="s">
        <v>3868</v>
      </c>
      <c r="B39" s="332" t="s">
        <v>2990</v>
      </c>
      <c r="C39" s="336" t="s">
        <v>3746</v>
      </c>
      <c r="D39" s="666" t="s">
        <v>3869</v>
      </c>
      <c r="E39" s="258">
        <v>1.5</v>
      </c>
      <c r="F39" s="493">
        <v>496</v>
      </c>
      <c r="G39" s="490"/>
      <c r="H39" s="539">
        <v>189</v>
      </c>
      <c r="K39" s="243"/>
    </row>
    <row r="40" spans="1:11">
      <c r="A40" s="603"/>
      <c r="B40" s="337" t="s">
        <v>2991</v>
      </c>
      <c r="C40" s="338" t="s">
        <v>2992</v>
      </c>
      <c r="D40" s="667"/>
      <c r="E40" s="258">
        <v>2.2000000000000002</v>
      </c>
      <c r="F40" s="493">
        <v>519</v>
      </c>
      <c r="G40" s="490"/>
      <c r="H40" s="539">
        <v>198</v>
      </c>
      <c r="K40" s="243"/>
    </row>
    <row r="41" spans="1:11">
      <c r="A41" s="603"/>
      <c r="B41" s="593" t="s">
        <v>2993</v>
      </c>
      <c r="C41" s="338" t="s">
        <v>2994</v>
      </c>
      <c r="D41" s="667"/>
      <c r="E41" s="595">
        <v>2.8</v>
      </c>
      <c r="F41" s="493">
        <v>542</v>
      </c>
      <c r="G41" s="490"/>
      <c r="H41" s="539">
        <v>206</v>
      </c>
    </row>
    <row r="42" spans="1:11">
      <c r="A42" s="603"/>
      <c r="B42" s="593" t="s">
        <v>2995</v>
      </c>
      <c r="C42" s="338" t="s">
        <v>2996</v>
      </c>
      <c r="D42" s="667"/>
      <c r="E42" s="595">
        <v>3.6</v>
      </c>
      <c r="F42" s="493">
        <v>593</v>
      </c>
      <c r="G42" s="490"/>
      <c r="H42" s="539">
        <v>226</v>
      </c>
    </row>
    <row r="43" spans="1:11">
      <c r="A43" s="603"/>
      <c r="B43" s="337" t="s">
        <v>3850</v>
      </c>
      <c r="C43" s="338" t="s">
        <v>2997</v>
      </c>
      <c r="D43" s="667"/>
      <c r="E43" s="258">
        <v>4.5</v>
      </c>
      <c r="F43" s="493">
        <v>650</v>
      </c>
      <c r="G43" s="490"/>
      <c r="H43" s="539">
        <v>247</v>
      </c>
    </row>
    <row r="44" spans="1:11">
      <c r="A44" s="603"/>
      <c r="B44" s="593" t="s">
        <v>2998</v>
      </c>
      <c r="C44" s="338" t="s">
        <v>2999</v>
      </c>
      <c r="D44" s="667"/>
      <c r="E44" s="595">
        <v>5.6</v>
      </c>
      <c r="F44" s="493">
        <v>673</v>
      </c>
      <c r="G44" s="490"/>
      <c r="H44" s="539">
        <v>256</v>
      </c>
    </row>
    <row r="45" spans="1:11">
      <c r="A45" s="603"/>
      <c r="B45" s="594" t="s">
        <v>3674</v>
      </c>
      <c r="C45" s="338" t="s">
        <v>3000</v>
      </c>
      <c r="D45" s="667"/>
      <c r="E45" s="595">
        <v>7.1</v>
      </c>
      <c r="F45" s="493">
        <v>753</v>
      </c>
      <c r="G45" s="490"/>
      <c r="H45" s="539">
        <v>287</v>
      </c>
    </row>
    <row r="46" spans="1:11">
      <c r="A46" s="603"/>
      <c r="B46" s="339" t="s">
        <v>3675</v>
      </c>
      <c r="C46" s="338" t="s">
        <v>3001</v>
      </c>
      <c r="D46" s="668"/>
      <c r="E46" s="258">
        <v>8</v>
      </c>
      <c r="F46" s="493">
        <v>781</v>
      </c>
      <c r="G46" s="490"/>
      <c r="H46" s="539">
        <v>297</v>
      </c>
    </row>
    <row r="47" spans="1:11">
      <c r="A47" s="670" t="s">
        <v>3866</v>
      </c>
      <c r="B47" s="249" t="s">
        <v>3676</v>
      </c>
      <c r="C47" s="249" t="s">
        <v>3747</v>
      </c>
      <c r="D47" s="666" t="s">
        <v>3867</v>
      </c>
      <c r="E47" s="350">
        <v>1.8</v>
      </c>
      <c r="F47" s="493">
        <v>736</v>
      </c>
      <c r="G47" s="490"/>
      <c r="H47" s="539">
        <v>280</v>
      </c>
      <c r="I47" s="592">
        <f>H47+$H$49</f>
        <v>348</v>
      </c>
    </row>
    <row r="48" spans="1:11">
      <c r="A48" s="670"/>
      <c r="B48" s="249" t="s">
        <v>3677</v>
      </c>
      <c r="C48" s="249" t="s">
        <v>3748</v>
      </c>
      <c r="D48" s="667"/>
      <c r="E48" s="350">
        <v>2.2000000000000002</v>
      </c>
      <c r="F48" s="493">
        <v>741</v>
      </c>
      <c r="G48" s="490"/>
      <c r="H48" s="539">
        <v>282</v>
      </c>
      <c r="I48" s="592">
        <f>H48+$H$49</f>
        <v>350</v>
      </c>
      <c r="K48" s="243"/>
    </row>
    <row r="49" spans="1:11">
      <c r="A49" s="670"/>
      <c r="B49" s="249" t="s">
        <v>2753</v>
      </c>
      <c r="C49" s="299" t="s">
        <v>3678</v>
      </c>
      <c r="D49" s="667"/>
      <c r="E49" s="350"/>
      <c r="F49" s="511">
        <v>177</v>
      </c>
      <c r="G49" s="490"/>
      <c r="H49" s="539">
        <v>68</v>
      </c>
      <c r="K49" s="243"/>
    </row>
    <row r="50" spans="1:11">
      <c r="A50" s="670"/>
      <c r="B50" s="249" t="s">
        <v>3679</v>
      </c>
      <c r="C50" s="249" t="s">
        <v>3749</v>
      </c>
      <c r="D50" s="667"/>
      <c r="E50" s="350">
        <v>2.8</v>
      </c>
      <c r="F50" s="511">
        <v>753</v>
      </c>
      <c r="G50" s="490"/>
      <c r="H50" s="539">
        <v>287</v>
      </c>
      <c r="I50" s="592">
        <f>+H50+$H$52</f>
        <v>355</v>
      </c>
      <c r="K50" s="243"/>
    </row>
    <row r="51" spans="1:11">
      <c r="A51" s="670"/>
      <c r="B51" s="249" t="s">
        <v>3680</v>
      </c>
      <c r="C51" s="249" t="s">
        <v>3750</v>
      </c>
      <c r="D51" s="667"/>
      <c r="E51" s="350">
        <v>3.6</v>
      </c>
      <c r="F51" s="511">
        <v>776</v>
      </c>
      <c r="G51" s="490"/>
      <c r="H51" s="539">
        <v>295</v>
      </c>
      <c r="I51" s="592">
        <f>+H51+$H$52</f>
        <v>363</v>
      </c>
      <c r="K51" s="243"/>
    </row>
    <row r="52" spans="1:11">
      <c r="A52" s="670"/>
      <c r="B52" s="249" t="s">
        <v>2754</v>
      </c>
      <c r="C52" s="299" t="s">
        <v>3681</v>
      </c>
      <c r="D52" s="667"/>
      <c r="E52" s="350"/>
      <c r="F52" s="511">
        <v>177</v>
      </c>
      <c r="G52" s="490"/>
      <c r="H52" s="539">
        <v>68</v>
      </c>
      <c r="K52" s="243"/>
    </row>
    <row r="53" spans="1:11">
      <c r="A53" s="670"/>
      <c r="B53" s="249" t="s">
        <v>3682</v>
      </c>
      <c r="C53" s="249" t="s">
        <v>3751</v>
      </c>
      <c r="D53" s="667"/>
      <c r="E53" s="350">
        <v>4.5</v>
      </c>
      <c r="F53" s="511">
        <v>878</v>
      </c>
      <c r="G53" s="490"/>
      <c r="H53" s="539">
        <v>334</v>
      </c>
      <c r="I53" s="592">
        <f>+H53+$H$56</f>
        <v>452</v>
      </c>
      <c r="K53" s="243"/>
    </row>
    <row r="54" spans="1:11">
      <c r="A54" s="670"/>
      <c r="B54" s="249" t="s">
        <v>3683</v>
      </c>
      <c r="C54" s="249" t="s">
        <v>3752</v>
      </c>
      <c r="D54" s="667"/>
      <c r="E54" s="350">
        <v>5.6</v>
      </c>
      <c r="F54" s="511">
        <v>890</v>
      </c>
      <c r="G54" s="490"/>
      <c r="H54" s="539">
        <v>339</v>
      </c>
      <c r="I54" s="592">
        <f>+H54+$H$56</f>
        <v>457</v>
      </c>
      <c r="K54" s="243"/>
    </row>
    <row r="55" spans="1:11">
      <c r="A55" s="670"/>
      <c r="B55" s="249" t="s">
        <v>3684</v>
      </c>
      <c r="C55" s="249" t="s">
        <v>3753</v>
      </c>
      <c r="D55" s="667"/>
      <c r="E55" s="350">
        <v>7.1</v>
      </c>
      <c r="F55" s="511">
        <v>941</v>
      </c>
      <c r="G55" s="490"/>
      <c r="H55" s="539">
        <v>358</v>
      </c>
      <c r="I55" s="592">
        <f>+H55+$H$56</f>
        <v>476</v>
      </c>
      <c r="K55" s="243"/>
    </row>
    <row r="56" spans="1:11">
      <c r="A56" s="670"/>
      <c r="B56" s="249" t="s">
        <v>2756</v>
      </c>
      <c r="C56" s="299" t="s">
        <v>3685</v>
      </c>
      <c r="D56" s="668"/>
      <c r="E56" s="350"/>
      <c r="F56" s="512">
        <v>308</v>
      </c>
      <c r="G56" s="490"/>
      <c r="H56" s="539">
        <v>118</v>
      </c>
      <c r="K56" s="243"/>
    </row>
    <row r="57" spans="1:11">
      <c r="A57" s="671" t="s">
        <v>3686</v>
      </c>
      <c r="B57" s="249" t="s">
        <v>3687</v>
      </c>
      <c r="C57" s="249" t="s">
        <v>3754</v>
      </c>
      <c r="D57" s="666" t="s">
        <v>3742</v>
      </c>
      <c r="E57" s="350">
        <v>3.6</v>
      </c>
      <c r="F57" s="493">
        <v>1368</v>
      </c>
      <c r="G57" s="490"/>
      <c r="H57" s="539">
        <v>520</v>
      </c>
      <c r="K57" s="243"/>
    </row>
    <row r="58" spans="1:11">
      <c r="A58" s="671"/>
      <c r="B58" s="249" t="s">
        <v>3688</v>
      </c>
      <c r="C58" s="249" t="s">
        <v>3755</v>
      </c>
      <c r="D58" s="667"/>
      <c r="E58" s="350">
        <v>4.5</v>
      </c>
      <c r="F58" s="493">
        <v>1454</v>
      </c>
      <c r="G58" s="490"/>
      <c r="H58" s="539">
        <v>553</v>
      </c>
      <c r="K58" s="243"/>
    </row>
    <row r="59" spans="1:11">
      <c r="A59" s="671"/>
      <c r="B59" s="249" t="s">
        <v>3689</v>
      </c>
      <c r="C59" s="249" t="s">
        <v>3756</v>
      </c>
      <c r="D59" s="667"/>
      <c r="E59" s="350">
        <v>5.6</v>
      </c>
      <c r="F59" s="493">
        <v>1460</v>
      </c>
      <c r="G59" s="490"/>
      <c r="H59" s="539">
        <v>555</v>
      </c>
      <c r="K59" s="243"/>
    </row>
    <row r="60" spans="1:11">
      <c r="A60" s="671"/>
      <c r="B60" s="249" t="s">
        <v>3690</v>
      </c>
      <c r="C60" s="249" t="s">
        <v>3757</v>
      </c>
      <c r="D60" s="667"/>
      <c r="E60" s="350">
        <v>7.1</v>
      </c>
      <c r="F60" s="493">
        <v>1465</v>
      </c>
      <c r="G60" s="490"/>
      <c r="H60" s="539">
        <v>557</v>
      </c>
      <c r="K60" s="243"/>
    </row>
    <row r="61" spans="1:11">
      <c r="A61" s="671"/>
      <c r="B61" s="249" t="s">
        <v>3691</v>
      </c>
      <c r="C61" s="249" t="s">
        <v>3758</v>
      </c>
      <c r="D61" s="667"/>
      <c r="E61" s="350">
        <v>8</v>
      </c>
      <c r="F61" s="493">
        <v>1705</v>
      </c>
      <c r="G61" s="490"/>
      <c r="H61" s="539">
        <v>648</v>
      </c>
      <c r="K61" s="243"/>
    </row>
    <row r="62" spans="1:11">
      <c r="A62" s="671"/>
      <c r="B62" s="249" t="s">
        <v>3692</v>
      </c>
      <c r="C62" s="249" t="s">
        <v>3759</v>
      </c>
      <c r="D62" s="667"/>
      <c r="E62" s="350">
        <v>9</v>
      </c>
      <c r="F62" s="493">
        <v>1716</v>
      </c>
      <c r="G62" s="490"/>
      <c r="H62" s="539">
        <v>653</v>
      </c>
      <c r="K62" s="243"/>
    </row>
    <row r="63" spans="1:11">
      <c r="A63" s="671"/>
      <c r="B63" s="249" t="s">
        <v>3693</v>
      </c>
      <c r="C63" s="249" t="s">
        <v>3760</v>
      </c>
      <c r="D63" s="667"/>
      <c r="E63" s="350">
        <v>11.2</v>
      </c>
      <c r="F63" s="493">
        <v>2109</v>
      </c>
      <c r="G63" s="490"/>
      <c r="H63" s="539">
        <v>802</v>
      </c>
      <c r="K63" s="243"/>
    </row>
    <row r="64" spans="1:11">
      <c r="A64" s="671"/>
      <c r="B64" s="249" t="s">
        <v>3694</v>
      </c>
      <c r="C64" s="249" t="s">
        <v>3761</v>
      </c>
      <c r="D64" s="668"/>
      <c r="E64" s="350">
        <v>14</v>
      </c>
      <c r="F64" s="493">
        <v>2132</v>
      </c>
      <c r="G64" s="490"/>
      <c r="H64" s="539">
        <v>811</v>
      </c>
      <c r="K64" s="243"/>
    </row>
    <row r="65" spans="1:11" ht="15">
      <c r="A65" s="671" t="s">
        <v>3946</v>
      </c>
      <c r="B65" s="249" t="s">
        <v>3045</v>
      </c>
      <c r="C65" s="302" t="s">
        <v>3695</v>
      </c>
      <c r="D65" s="666" t="s">
        <v>3743</v>
      </c>
      <c r="E65" s="350">
        <v>1.5</v>
      </c>
      <c r="F65" s="493">
        <v>690</v>
      </c>
      <c r="G65" s="490"/>
      <c r="H65" s="539">
        <v>263</v>
      </c>
      <c r="K65" s="243"/>
    </row>
    <row r="66" spans="1:11" ht="15">
      <c r="A66" s="671"/>
      <c r="B66" s="249" t="s">
        <v>3046</v>
      </c>
      <c r="C66" s="302" t="s">
        <v>3696</v>
      </c>
      <c r="D66" s="667"/>
      <c r="E66" s="350">
        <v>2.2000000000000002</v>
      </c>
      <c r="F66" s="493">
        <v>713</v>
      </c>
      <c r="G66" s="490"/>
      <c r="H66" s="539">
        <v>271</v>
      </c>
      <c r="K66" s="243"/>
    </row>
    <row r="67" spans="1:11" ht="15">
      <c r="A67" s="671"/>
      <c r="B67" s="249" t="s">
        <v>3047</v>
      </c>
      <c r="C67" s="302" t="s">
        <v>3697</v>
      </c>
      <c r="D67" s="667"/>
      <c r="E67" s="350">
        <v>2.8</v>
      </c>
      <c r="F67" s="493">
        <v>741</v>
      </c>
      <c r="G67" s="490"/>
      <c r="H67" s="539">
        <v>282</v>
      </c>
      <c r="K67" s="243"/>
    </row>
    <row r="68" spans="1:11" ht="15">
      <c r="A68" s="671"/>
      <c r="B68" s="249" t="s">
        <v>3048</v>
      </c>
      <c r="C68" s="302" t="s">
        <v>3698</v>
      </c>
      <c r="D68" s="667"/>
      <c r="E68" s="350">
        <v>3.6</v>
      </c>
      <c r="F68" s="493">
        <v>770</v>
      </c>
      <c r="G68" s="490"/>
      <c r="H68" s="539">
        <v>293</v>
      </c>
      <c r="K68" s="243"/>
    </row>
    <row r="69" spans="1:11" ht="15">
      <c r="A69" s="671"/>
      <c r="B69" s="249" t="s">
        <v>3049</v>
      </c>
      <c r="C69" s="302" t="s">
        <v>3699</v>
      </c>
      <c r="D69" s="667"/>
      <c r="E69" s="350">
        <v>4.5</v>
      </c>
      <c r="F69" s="493">
        <v>827</v>
      </c>
      <c r="G69" s="490"/>
      <c r="H69" s="539">
        <v>315</v>
      </c>
      <c r="K69" s="243"/>
    </row>
    <row r="70" spans="1:11" ht="15">
      <c r="A70" s="671"/>
      <c r="B70" s="249" t="s">
        <v>3050</v>
      </c>
      <c r="C70" s="303" t="s">
        <v>3700</v>
      </c>
      <c r="D70" s="667"/>
      <c r="E70" s="350">
        <v>5.6</v>
      </c>
      <c r="F70" s="493">
        <v>884</v>
      </c>
      <c r="G70" s="490"/>
      <c r="H70" s="539">
        <v>336</v>
      </c>
      <c r="K70" s="243"/>
    </row>
    <row r="71" spans="1:11" ht="15">
      <c r="A71" s="671"/>
      <c r="B71" s="249" t="s">
        <v>3051</v>
      </c>
      <c r="C71" s="303" t="s">
        <v>3701</v>
      </c>
      <c r="D71" s="667"/>
      <c r="E71" s="350">
        <v>6.3</v>
      </c>
      <c r="F71" s="493">
        <v>1066</v>
      </c>
      <c r="G71" s="490"/>
      <c r="H71" s="539">
        <v>406</v>
      </c>
      <c r="K71" s="243"/>
    </row>
    <row r="72" spans="1:11">
      <c r="A72" s="671"/>
      <c r="B72" s="249" t="s">
        <v>3903</v>
      </c>
      <c r="C72" s="263">
        <v>22012900003270</v>
      </c>
      <c r="D72" s="668"/>
      <c r="E72" s="350" t="s">
        <v>2241</v>
      </c>
      <c r="F72" s="493">
        <v>223</v>
      </c>
      <c r="G72" s="490"/>
      <c r="H72" s="539">
        <v>85</v>
      </c>
      <c r="K72" s="243"/>
    </row>
    <row r="73" spans="1:11">
      <c r="A73" s="670" t="s">
        <v>3947</v>
      </c>
      <c r="B73" s="263" t="s">
        <v>3052</v>
      </c>
      <c r="C73" s="259" t="s">
        <v>3762</v>
      </c>
      <c r="D73" s="666" t="s">
        <v>3867</v>
      </c>
      <c r="E73" s="350">
        <v>2.8</v>
      </c>
      <c r="F73" s="493">
        <v>821</v>
      </c>
      <c r="G73" s="490"/>
      <c r="H73" s="539">
        <v>312</v>
      </c>
      <c r="I73" s="592">
        <f>H73+$H$85</f>
        <v>441</v>
      </c>
      <c r="K73" s="243"/>
    </row>
    <row r="74" spans="1:11">
      <c r="A74" s="670"/>
      <c r="B74" s="263" t="s">
        <v>3053</v>
      </c>
      <c r="C74" s="259" t="s">
        <v>3763</v>
      </c>
      <c r="D74" s="667"/>
      <c r="E74" s="350">
        <v>3.6</v>
      </c>
      <c r="F74" s="493">
        <v>833</v>
      </c>
      <c r="G74" s="490"/>
      <c r="H74" s="539">
        <v>317</v>
      </c>
      <c r="I74" s="592">
        <f t="shared" ref="I74:I84" si="0">H74+$H$85</f>
        <v>446</v>
      </c>
      <c r="K74" s="243"/>
    </row>
    <row r="75" spans="1:11">
      <c r="A75" s="670"/>
      <c r="B75" s="263" t="s">
        <v>3054</v>
      </c>
      <c r="C75" s="259" t="s">
        <v>3764</v>
      </c>
      <c r="D75" s="667"/>
      <c r="E75" s="350">
        <v>4.5</v>
      </c>
      <c r="F75" s="493">
        <v>912</v>
      </c>
      <c r="G75" s="490"/>
      <c r="H75" s="539">
        <v>347</v>
      </c>
      <c r="I75" s="592">
        <f t="shared" si="0"/>
        <v>476</v>
      </c>
      <c r="K75" s="243"/>
    </row>
    <row r="76" spans="1:11">
      <c r="A76" s="670"/>
      <c r="B76" s="263" t="s">
        <v>3055</v>
      </c>
      <c r="C76" s="259" t="s">
        <v>3765</v>
      </c>
      <c r="D76" s="667"/>
      <c r="E76" s="350">
        <v>5.6</v>
      </c>
      <c r="F76" s="493">
        <v>941</v>
      </c>
      <c r="G76" s="490"/>
      <c r="H76" s="539">
        <v>358</v>
      </c>
      <c r="I76" s="592">
        <f t="shared" si="0"/>
        <v>487</v>
      </c>
      <c r="K76" s="243"/>
    </row>
    <row r="77" spans="1:11">
      <c r="A77" s="670"/>
      <c r="B77" s="263" t="s">
        <v>3056</v>
      </c>
      <c r="C77" s="259" t="s">
        <v>3766</v>
      </c>
      <c r="D77" s="667"/>
      <c r="E77" s="350">
        <v>7.1</v>
      </c>
      <c r="F77" s="493">
        <v>958</v>
      </c>
      <c r="G77" s="490"/>
      <c r="H77" s="539">
        <v>365</v>
      </c>
      <c r="I77" s="592">
        <f t="shared" si="0"/>
        <v>494</v>
      </c>
      <c r="K77" s="243"/>
    </row>
    <row r="78" spans="1:11">
      <c r="A78" s="670"/>
      <c r="B78" s="263" t="s">
        <v>3057</v>
      </c>
      <c r="C78" s="259" t="s">
        <v>3767</v>
      </c>
      <c r="D78" s="667"/>
      <c r="E78" s="350">
        <v>8</v>
      </c>
      <c r="F78" s="493">
        <v>998</v>
      </c>
      <c r="G78" s="490"/>
      <c r="H78" s="539">
        <v>380</v>
      </c>
      <c r="I78" s="592">
        <f t="shared" si="0"/>
        <v>509</v>
      </c>
      <c r="K78" s="243"/>
    </row>
    <row r="79" spans="1:11">
      <c r="A79" s="670"/>
      <c r="B79" s="263" t="s">
        <v>3058</v>
      </c>
      <c r="C79" s="259" t="s">
        <v>3768</v>
      </c>
      <c r="D79" s="667"/>
      <c r="E79" s="350">
        <v>9</v>
      </c>
      <c r="F79" s="493">
        <v>1055</v>
      </c>
      <c r="G79" s="490"/>
      <c r="H79" s="539">
        <v>401</v>
      </c>
      <c r="I79" s="592">
        <f t="shared" si="0"/>
        <v>530</v>
      </c>
      <c r="K79" s="243"/>
    </row>
    <row r="80" spans="1:11">
      <c r="A80" s="670"/>
      <c r="B80" s="263" t="s">
        <v>3059</v>
      </c>
      <c r="C80" s="259" t="s">
        <v>3769</v>
      </c>
      <c r="D80" s="667"/>
      <c r="E80" s="350">
        <v>10</v>
      </c>
      <c r="F80" s="493">
        <v>1083</v>
      </c>
      <c r="G80" s="490"/>
      <c r="H80" s="539">
        <v>412</v>
      </c>
      <c r="I80" s="592">
        <f t="shared" si="0"/>
        <v>541</v>
      </c>
      <c r="K80" s="243"/>
    </row>
    <row r="81" spans="1:11">
      <c r="A81" s="670"/>
      <c r="B81" s="263" t="s">
        <v>3060</v>
      </c>
      <c r="C81" s="259" t="s">
        <v>3770</v>
      </c>
      <c r="D81" s="667"/>
      <c r="E81" s="350">
        <v>11.2</v>
      </c>
      <c r="F81" s="493">
        <v>1106</v>
      </c>
      <c r="G81" s="490"/>
      <c r="H81" s="539">
        <v>421</v>
      </c>
      <c r="I81" s="592">
        <f t="shared" si="0"/>
        <v>550</v>
      </c>
      <c r="K81" s="243"/>
    </row>
    <row r="82" spans="1:11">
      <c r="A82" s="670"/>
      <c r="B82" s="263" t="s">
        <v>3061</v>
      </c>
      <c r="C82" s="259" t="s">
        <v>3771</v>
      </c>
      <c r="D82" s="667"/>
      <c r="E82" s="350">
        <v>14</v>
      </c>
      <c r="F82" s="493">
        <v>1163</v>
      </c>
      <c r="G82" s="490"/>
      <c r="H82" s="539">
        <v>442</v>
      </c>
      <c r="I82" s="592">
        <f t="shared" si="0"/>
        <v>571</v>
      </c>
      <c r="K82" s="243"/>
    </row>
    <row r="83" spans="1:11">
      <c r="A83" s="670"/>
      <c r="B83" s="263" t="s">
        <v>3062</v>
      </c>
      <c r="C83" s="259" t="s">
        <v>3772</v>
      </c>
      <c r="D83" s="667"/>
      <c r="E83" s="350">
        <v>16</v>
      </c>
      <c r="F83" s="493">
        <v>1522</v>
      </c>
      <c r="G83" s="490"/>
      <c r="H83" s="539">
        <v>579</v>
      </c>
      <c r="I83" s="592">
        <f t="shared" si="0"/>
        <v>708</v>
      </c>
      <c r="K83" s="243"/>
    </row>
    <row r="84" spans="1:11">
      <c r="A84" s="670"/>
      <c r="B84" s="263" t="s">
        <v>3063</v>
      </c>
      <c r="C84" s="259" t="s">
        <v>3773</v>
      </c>
      <c r="D84" s="667"/>
      <c r="E84" s="350">
        <v>18</v>
      </c>
      <c r="F84" s="493">
        <v>1579</v>
      </c>
      <c r="G84" s="490"/>
      <c r="H84" s="539">
        <v>601</v>
      </c>
      <c r="I84" s="592">
        <f t="shared" si="0"/>
        <v>730</v>
      </c>
      <c r="K84" s="243"/>
    </row>
    <row r="85" spans="1:11">
      <c r="A85" s="670"/>
      <c r="B85" s="263" t="s">
        <v>3904</v>
      </c>
      <c r="C85" s="263">
        <v>22012900003290</v>
      </c>
      <c r="D85" s="668"/>
      <c r="E85" s="350" t="s">
        <v>2241</v>
      </c>
      <c r="F85" s="493">
        <v>337</v>
      </c>
      <c r="G85" s="490"/>
      <c r="H85" s="539">
        <v>129</v>
      </c>
      <c r="K85" s="243"/>
    </row>
    <row r="86" spans="1:11">
      <c r="A86" s="670"/>
      <c r="B86" s="263" t="s">
        <v>2637</v>
      </c>
      <c r="C86" s="263">
        <v>22012900003350</v>
      </c>
      <c r="D86" s="246"/>
      <c r="E86" s="350" t="s">
        <v>2241</v>
      </c>
      <c r="F86" s="493">
        <v>365</v>
      </c>
      <c r="G86" s="490"/>
      <c r="H86" s="539">
        <v>139</v>
      </c>
      <c r="K86" s="243"/>
    </row>
    <row r="87" spans="1:11" ht="13.5" customHeight="1">
      <c r="A87" s="670" t="s">
        <v>3948</v>
      </c>
      <c r="B87" s="263" t="s">
        <v>3064</v>
      </c>
      <c r="C87" s="304" t="s">
        <v>3702</v>
      </c>
      <c r="D87" s="666" t="s">
        <v>3865</v>
      </c>
      <c r="E87" s="350">
        <v>1.5</v>
      </c>
      <c r="F87" s="493">
        <v>747</v>
      </c>
      <c r="G87" s="490"/>
      <c r="H87" s="539">
        <v>284</v>
      </c>
      <c r="K87" s="243"/>
    </row>
    <row r="88" spans="1:11" ht="13.5" customHeight="1">
      <c r="A88" s="670"/>
      <c r="B88" s="263" t="s">
        <v>3065</v>
      </c>
      <c r="C88" s="259" t="s">
        <v>3703</v>
      </c>
      <c r="D88" s="667"/>
      <c r="E88" s="350">
        <v>1.8</v>
      </c>
      <c r="F88" s="493">
        <v>770</v>
      </c>
      <c r="G88" s="490"/>
      <c r="H88" s="539">
        <v>293</v>
      </c>
      <c r="K88" s="243"/>
    </row>
    <row r="89" spans="1:11" ht="13.5" customHeight="1">
      <c r="A89" s="670"/>
      <c r="B89" s="263" t="s">
        <v>3066</v>
      </c>
      <c r="C89" s="259" t="s">
        <v>3704</v>
      </c>
      <c r="D89" s="667"/>
      <c r="E89" s="350">
        <v>2.2000000000000002</v>
      </c>
      <c r="F89" s="493">
        <v>793</v>
      </c>
      <c r="G89" s="490"/>
      <c r="H89" s="539">
        <v>302</v>
      </c>
      <c r="K89" s="243"/>
    </row>
    <row r="90" spans="1:11" ht="13.5" customHeight="1">
      <c r="A90" s="670"/>
      <c r="B90" s="263" t="s">
        <v>3067</v>
      </c>
      <c r="C90" s="259" t="s">
        <v>3705</v>
      </c>
      <c r="D90" s="667"/>
      <c r="E90" s="350">
        <v>2.8</v>
      </c>
      <c r="F90" s="493">
        <v>816</v>
      </c>
      <c r="G90" s="490"/>
      <c r="H90" s="539">
        <v>311</v>
      </c>
      <c r="K90" s="243"/>
    </row>
    <row r="91" spans="1:11" ht="13.5" customHeight="1">
      <c r="A91" s="670"/>
      <c r="B91" s="263" t="s">
        <v>3068</v>
      </c>
      <c r="C91" s="259" t="s">
        <v>3706</v>
      </c>
      <c r="D91" s="667"/>
      <c r="E91" s="350">
        <v>3.6</v>
      </c>
      <c r="F91" s="493">
        <v>833</v>
      </c>
      <c r="G91" s="490"/>
      <c r="H91" s="539">
        <v>317</v>
      </c>
      <c r="K91" s="243"/>
    </row>
    <row r="92" spans="1:11" ht="13.5" customHeight="1">
      <c r="A92" s="670"/>
      <c r="B92" s="263" t="s">
        <v>3069</v>
      </c>
      <c r="C92" s="259" t="s">
        <v>3707</v>
      </c>
      <c r="D92" s="667"/>
      <c r="E92" s="350">
        <v>4.5</v>
      </c>
      <c r="F92" s="493">
        <v>855</v>
      </c>
      <c r="G92" s="490"/>
      <c r="H92" s="539">
        <v>325</v>
      </c>
      <c r="K92" s="243"/>
    </row>
    <row r="93" spans="1:11" ht="13.5" customHeight="1">
      <c r="A93" s="670"/>
      <c r="B93" s="263" t="s">
        <v>3070</v>
      </c>
      <c r="C93" s="259" t="s">
        <v>3708</v>
      </c>
      <c r="D93" s="667"/>
      <c r="E93" s="350">
        <v>5.6</v>
      </c>
      <c r="F93" s="493">
        <v>873</v>
      </c>
      <c r="G93" s="490"/>
      <c r="H93" s="539">
        <v>332</v>
      </c>
      <c r="K93" s="243"/>
    </row>
    <row r="94" spans="1:11" ht="13.5" customHeight="1">
      <c r="A94" s="670"/>
      <c r="B94" s="263" t="s">
        <v>3071</v>
      </c>
      <c r="C94" s="259" t="s">
        <v>3709</v>
      </c>
      <c r="D94" s="667"/>
      <c r="E94" s="350">
        <v>7.1</v>
      </c>
      <c r="F94" s="493">
        <v>987</v>
      </c>
      <c r="G94" s="490"/>
      <c r="H94" s="539">
        <v>376</v>
      </c>
      <c r="K94" s="243"/>
    </row>
    <row r="95" spans="1:11" ht="13.5" customHeight="1">
      <c r="A95" s="670"/>
      <c r="B95" s="263" t="s">
        <v>3072</v>
      </c>
      <c r="C95" s="259" t="s">
        <v>3710</v>
      </c>
      <c r="D95" s="667"/>
      <c r="E95" s="350">
        <v>8</v>
      </c>
      <c r="F95" s="493">
        <v>1192</v>
      </c>
      <c r="G95" s="490"/>
      <c r="H95" s="539">
        <v>453</v>
      </c>
      <c r="K95" s="243"/>
    </row>
    <row r="96" spans="1:11" ht="13.5" customHeight="1">
      <c r="A96" s="670"/>
      <c r="B96" s="263" t="s">
        <v>3073</v>
      </c>
      <c r="C96" s="259" t="s">
        <v>3711</v>
      </c>
      <c r="D96" s="667"/>
      <c r="E96" s="350">
        <v>9</v>
      </c>
      <c r="F96" s="493">
        <v>1220</v>
      </c>
      <c r="G96" s="490"/>
      <c r="H96" s="539">
        <v>464</v>
      </c>
      <c r="K96" s="243"/>
    </row>
    <row r="97" spans="1:11" ht="13.5" customHeight="1">
      <c r="A97" s="670"/>
      <c r="B97" s="263" t="s">
        <v>3074</v>
      </c>
      <c r="C97" s="259" t="s">
        <v>3712</v>
      </c>
      <c r="D97" s="667"/>
      <c r="E97" s="350">
        <v>11.2</v>
      </c>
      <c r="F97" s="493">
        <v>1260</v>
      </c>
      <c r="G97" s="490"/>
      <c r="H97" s="539">
        <v>479</v>
      </c>
      <c r="K97" s="243"/>
    </row>
    <row r="98" spans="1:11" ht="13.5" customHeight="1">
      <c r="A98" s="670"/>
      <c r="B98" s="263" t="s">
        <v>3075</v>
      </c>
      <c r="C98" s="259" t="s">
        <v>3713</v>
      </c>
      <c r="D98" s="667"/>
      <c r="E98" s="350">
        <v>12.5</v>
      </c>
      <c r="F98" s="493">
        <v>1346</v>
      </c>
      <c r="G98" s="490"/>
      <c r="H98" s="539">
        <v>512</v>
      </c>
      <c r="K98" s="243"/>
    </row>
    <row r="99" spans="1:11" ht="13.5" customHeight="1">
      <c r="A99" s="670"/>
      <c r="B99" s="263" t="s">
        <v>3076</v>
      </c>
      <c r="C99" s="259" t="s">
        <v>3714</v>
      </c>
      <c r="D99" s="667"/>
      <c r="E99" s="350">
        <v>14</v>
      </c>
      <c r="F99" s="493">
        <v>1334</v>
      </c>
      <c r="G99" s="490"/>
      <c r="H99" s="539">
        <v>507</v>
      </c>
      <c r="K99" s="243"/>
    </row>
    <row r="100" spans="1:11" ht="13.5" customHeight="1">
      <c r="A100" s="670"/>
      <c r="B100" s="263" t="s">
        <v>3077</v>
      </c>
      <c r="C100" s="259" t="s">
        <v>3774</v>
      </c>
      <c r="D100" s="668"/>
      <c r="E100" s="350">
        <v>16</v>
      </c>
      <c r="F100" s="493">
        <v>2035</v>
      </c>
      <c r="G100" s="490"/>
      <c r="H100" s="539">
        <v>774</v>
      </c>
      <c r="K100" s="243"/>
    </row>
    <row r="101" spans="1:11">
      <c r="A101" s="250"/>
      <c r="B101" s="250"/>
      <c r="K101" s="243"/>
    </row>
    <row r="102" spans="1:11">
      <c r="D102" s="243"/>
      <c r="K102" s="243"/>
    </row>
    <row r="103" spans="1:11">
      <c r="K103" s="243"/>
    </row>
    <row r="104" spans="1:11">
      <c r="K104" s="243"/>
    </row>
  </sheetData>
  <mergeCells count="21">
    <mergeCell ref="D3:D12"/>
    <mergeCell ref="A3:A12"/>
    <mergeCell ref="A22:A26"/>
    <mergeCell ref="A27:A28"/>
    <mergeCell ref="A31:A32"/>
    <mergeCell ref="A13:A17"/>
    <mergeCell ref="A20:A21"/>
    <mergeCell ref="D39:D46"/>
    <mergeCell ref="D33:D38"/>
    <mergeCell ref="D47:D56"/>
    <mergeCell ref="A87:A100"/>
    <mergeCell ref="A65:A72"/>
    <mergeCell ref="A73:A86"/>
    <mergeCell ref="A47:A56"/>
    <mergeCell ref="A57:A64"/>
    <mergeCell ref="D87:D100"/>
    <mergeCell ref="D57:D64"/>
    <mergeCell ref="D65:D72"/>
    <mergeCell ref="D73:D85"/>
    <mergeCell ref="A39:A46"/>
    <mergeCell ref="A33:A38"/>
  </mergeCells>
  <phoneticPr fontId="46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84"/>
  <sheetViews>
    <sheetView showGridLines="0" zoomScale="156" zoomScaleNormal="115" workbookViewId="0">
      <pane ySplit="1" topLeftCell="A4" activePane="bottomLeft" state="frozen"/>
      <selection pane="bottomLeft" activeCell="E43" sqref="E43"/>
    </sheetView>
  </sheetViews>
  <sheetFormatPr baseColWidth="10" defaultColWidth="9" defaultRowHeight="12"/>
  <cols>
    <col min="1" max="1" width="12.6640625" style="279" customWidth="1"/>
    <col min="2" max="2" width="12.1640625" style="279" customWidth="1"/>
    <col min="3" max="3" width="18.1640625" style="279" customWidth="1"/>
    <col min="4" max="4" width="17" style="279" customWidth="1"/>
    <col min="5" max="5" width="19.1640625" style="279" customWidth="1"/>
    <col min="6" max="6" width="23.6640625" style="274" customWidth="1"/>
    <col min="7" max="7" width="13.1640625" style="279" customWidth="1"/>
    <col min="8" max="8" width="11.1640625" style="279" customWidth="1"/>
    <col min="9" max="9" width="9" style="497"/>
    <col min="10" max="10" width="2" style="279" customWidth="1"/>
    <col min="11" max="11" width="9" style="279" customWidth="1"/>
    <col min="12" max="16384" width="9" style="279"/>
  </cols>
  <sheetData>
    <row r="1" spans="1:9" ht="42.5" customHeight="1">
      <c r="A1" s="351" t="s">
        <v>2236</v>
      </c>
      <c r="B1" s="686" t="s">
        <v>3078</v>
      </c>
      <c r="C1" s="686"/>
      <c r="D1" s="351" t="s">
        <v>3079</v>
      </c>
      <c r="E1" s="351" t="s">
        <v>2237</v>
      </c>
      <c r="F1" s="352" t="s">
        <v>2238</v>
      </c>
      <c r="G1" s="351" t="s">
        <v>3080</v>
      </c>
      <c r="H1" s="492" t="s">
        <v>4077</v>
      </c>
      <c r="I1" s="528" t="s">
        <v>4078</v>
      </c>
    </row>
    <row r="2" spans="1:9" ht="14">
      <c r="A2" s="691" t="s">
        <v>3085</v>
      </c>
      <c r="B2" s="691" t="s">
        <v>3084</v>
      </c>
      <c r="C2" s="691" t="s">
        <v>3086</v>
      </c>
      <c r="D2" s="277" t="s">
        <v>3087</v>
      </c>
      <c r="E2" s="305" t="s">
        <v>3088</v>
      </c>
      <c r="F2" s="273"/>
      <c r="G2" s="276">
        <v>22</v>
      </c>
      <c r="H2" s="495">
        <v>3417</v>
      </c>
      <c r="I2" s="495">
        <v>1299</v>
      </c>
    </row>
    <row r="3" spans="1:9" ht="14">
      <c r="A3" s="692"/>
      <c r="B3" s="692"/>
      <c r="C3" s="692"/>
      <c r="D3" s="277" t="s">
        <v>3089</v>
      </c>
      <c r="E3" s="305" t="s">
        <v>3090</v>
      </c>
      <c r="F3" s="273"/>
      <c r="G3" s="276">
        <v>28</v>
      </c>
      <c r="H3" s="495">
        <v>3518</v>
      </c>
      <c r="I3" s="495">
        <v>1337</v>
      </c>
    </row>
    <row r="4" spans="1:9" ht="14">
      <c r="A4" s="692"/>
      <c r="B4" s="692"/>
      <c r="C4" s="692"/>
      <c r="D4" s="277" t="s">
        <v>3091</v>
      </c>
      <c r="E4" s="305" t="s">
        <v>3092</v>
      </c>
      <c r="F4" s="273"/>
      <c r="G4" s="276">
        <v>35</v>
      </c>
      <c r="H4" s="495">
        <v>3729</v>
      </c>
      <c r="I4" s="495">
        <v>1418</v>
      </c>
    </row>
    <row r="5" spans="1:9" ht="14">
      <c r="A5" s="692"/>
      <c r="B5" s="692"/>
      <c r="C5" s="692"/>
      <c r="D5" s="277" t="s">
        <v>3093</v>
      </c>
      <c r="E5" s="305" t="s">
        <v>3094</v>
      </c>
      <c r="F5" s="273"/>
      <c r="G5" s="276">
        <v>45</v>
      </c>
      <c r="H5" s="495">
        <v>4031</v>
      </c>
      <c r="I5" s="495">
        <v>1532</v>
      </c>
    </row>
    <row r="6" spans="1:9" ht="14">
      <c r="A6" s="692"/>
      <c r="B6" s="692"/>
      <c r="C6" s="693"/>
      <c r="D6" s="277" t="s">
        <v>3095</v>
      </c>
      <c r="E6" s="305" t="s">
        <v>3096</v>
      </c>
      <c r="F6" s="273"/>
      <c r="G6" s="276">
        <v>56</v>
      </c>
      <c r="H6" s="495">
        <v>5025</v>
      </c>
      <c r="I6" s="495">
        <v>1910</v>
      </c>
    </row>
    <row r="7" spans="1:9" ht="14">
      <c r="A7" s="692"/>
      <c r="B7" s="692"/>
      <c r="C7" s="691" t="s">
        <v>3097</v>
      </c>
      <c r="D7" s="277" t="s">
        <v>3098</v>
      </c>
      <c r="E7" s="305" t="s">
        <v>3099</v>
      </c>
      <c r="F7" s="273"/>
      <c r="G7" s="276">
        <v>22</v>
      </c>
      <c r="H7" s="495">
        <v>3347</v>
      </c>
      <c r="I7" s="495">
        <v>1272</v>
      </c>
    </row>
    <row r="8" spans="1:9" ht="14">
      <c r="A8" s="692"/>
      <c r="B8" s="692"/>
      <c r="C8" s="692"/>
      <c r="D8" s="277" t="s">
        <v>3100</v>
      </c>
      <c r="E8" s="305" t="s">
        <v>3101</v>
      </c>
      <c r="F8" s="273"/>
      <c r="G8" s="276">
        <v>28</v>
      </c>
      <c r="H8" s="495">
        <v>3528</v>
      </c>
      <c r="I8" s="495">
        <v>1341</v>
      </c>
    </row>
    <row r="9" spans="1:9" ht="14">
      <c r="A9" s="692"/>
      <c r="B9" s="692"/>
      <c r="C9" s="692"/>
      <c r="D9" s="277" t="s">
        <v>3102</v>
      </c>
      <c r="E9" s="305" t="s">
        <v>3103</v>
      </c>
      <c r="F9" s="273"/>
      <c r="G9" s="276">
        <v>35</v>
      </c>
      <c r="H9" s="495">
        <v>3654</v>
      </c>
      <c r="I9" s="495">
        <v>1389</v>
      </c>
    </row>
    <row r="10" spans="1:9" ht="14">
      <c r="A10" s="692"/>
      <c r="B10" s="692"/>
      <c r="C10" s="692"/>
      <c r="D10" s="277" t="s">
        <v>3104</v>
      </c>
      <c r="E10" s="305" t="s">
        <v>3105</v>
      </c>
      <c r="F10" s="273"/>
      <c r="G10" s="276">
        <v>45</v>
      </c>
      <c r="H10" s="495">
        <v>4593</v>
      </c>
      <c r="I10" s="495">
        <v>1746</v>
      </c>
    </row>
    <row r="11" spans="1:9" ht="14">
      <c r="A11" s="693"/>
      <c r="B11" s="692"/>
      <c r="C11" s="693"/>
      <c r="D11" s="277" t="s">
        <v>3106</v>
      </c>
      <c r="E11" s="305" t="s">
        <v>3107</v>
      </c>
      <c r="F11" s="273"/>
      <c r="G11" s="276">
        <v>56</v>
      </c>
      <c r="H11" s="495">
        <v>4915</v>
      </c>
      <c r="I11" s="495">
        <v>1868</v>
      </c>
    </row>
    <row r="12" spans="1:9" s="357" customFormat="1" ht="14">
      <c r="A12" s="694" t="s">
        <v>3108</v>
      </c>
      <c r="B12" s="697"/>
      <c r="C12" s="694" t="s">
        <v>2790</v>
      </c>
      <c r="D12" s="353" t="s">
        <v>3109</v>
      </c>
      <c r="E12" s="354" t="s">
        <v>3775</v>
      </c>
      <c r="F12" s="355"/>
      <c r="G12" s="356">
        <v>8</v>
      </c>
      <c r="H12" s="495">
        <v>1850</v>
      </c>
      <c r="I12" s="495">
        <v>703</v>
      </c>
    </row>
    <row r="13" spans="1:9" s="357" customFormat="1" ht="14">
      <c r="A13" s="695"/>
      <c r="B13" s="697"/>
      <c r="C13" s="695"/>
      <c r="D13" s="353" t="s">
        <v>3110</v>
      </c>
      <c r="E13" s="354" t="s">
        <v>3776</v>
      </c>
      <c r="F13" s="355"/>
      <c r="G13" s="356">
        <v>14</v>
      </c>
      <c r="H13" s="495">
        <v>2382</v>
      </c>
      <c r="I13" s="495">
        <v>906</v>
      </c>
    </row>
    <row r="14" spans="1:9" s="357" customFormat="1" ht="14">
      <c r="A14" s="695"/>
      <c r="B14" s="697"/>
      <c r="C14" s="695"/>
      <c r="D14" s="353" t="s">
        <v>3111</v>
      </c>
      <c r="E14" s="354" t="s">
        <v>3777</v>
      </c>
      <c r="F14" s="355"/>
      <c r="G14" s="356">
        <v>20</v>
      </c>
      <c r="H14" s="495">
        <v>4081</v>
      </c>
      <c r="I14" s="495">
        <v>1551</v>
      </c>
    </row>
    <row r="15" spans="1:9" s="357" customFormat="1" ht="14">
      <c r="A15" s="695"/>
      <c r="B15" s="697"/>
      <c r="C15" s="695"/>
      <c r="D15" s="353" t="s">
        <v>3112</v>
      </c>
      <c r="E15" s="354" t="s">
        <v>3778</v>
      </c>
      <c r="F15" s="355"/>
      <c r="G15" s="356">
        <v>22</v>
      </c>
      <c r="H15" s="495">
        <v>4292</v>
      </c>
      <c r="I15" s="495">
        <v>1631</v>
      </c>
    </row>
    <row r="16" spans="1:9" s="357" customFormat="1" ht="14">
      <c r="A16" s="695"/>
      <c r="B16" s="697"/>
      <c r="C16" s="695"/>
      <c r="D16" s="353" t="s">
        <v>3113</v>
      </c>
      <c r="E16" s="354" t="s">
        <v>3779</v>
      </c>
      <c r="F16" s="355"/>
      <c r="G16" s="356">
        <v>28</v>
      </c>
      <c r="H16" s="495">
        <v>4603</v>
      </c>
      <c r="I16" s="495">
        <v>1750</v>
      </c>
    </row>
    <row r="17" spans="1:9" s="357" customFormat="1" ht="14">
      <c r="A17" s="695"/>
      <c r="B17" s="697"/>
      <c r="C17" s="695"/>
      <c r="D17" s="353" t="s">
        <v>3114</v>
      </c>
      <c r="E17" s="354" t="s">
        <v>3780</v>
      </c>
      <c r="F17" s="355"/>
      <c r="G17" s="356">
        <v>35</v>
      </c>
      <c r="H17" s="495">
        <v>5091</v>
      </c>
      <c r="I17" s="495">
        <v>1935</v>
      </c>
    </row>
    <row r="18" spans="1:9" s="357" customFormat="1" ht="14">
      <c r="A18" s="695"/>
      <c r="B18" s="697"/>
      <c r="C18" s="695"/>
      <c r="D18" s="353" t="s">
        <v>3115</v>
      </c>
      <c r="E18" s="354" t="s">
        <v>3781</v>
      </c>
      <c r="F18" s="355"/>
      <c r="G18" s="356">
        <v>40</v>
      </c>
      <c r="H18" s="495">
        <v>6649</v>
      </c>
      <c r="I18" s="495">
        <v>2527</v>
      </c>
    </row>
    <row r="19" spans="1:9" s="357" customFormat="1" ht="14">
      <c r="A19" s="695"/>
      <c r="B19" s="697"/>
      <c r="C19" s="695"/>
      <c r="D19" s="353" t="s">
        <v>3116</v>
      </c>
      <c r="E19" s="354" t="s">
        <v>3782</v>
      </c>
      <c r="F19" s="355"/>
      <c r="G19" s="356">
        <v>45</v>
      </c>
      <c r="H19" s="495">
        <v>6819</v>
      </c>
      <c r="I19" s="495">
        <v>2592</v>
      </c>
    </row>
    <row r="20" spans="1:9" s="357" customFormat="1" ht="14">
      <c r="A20" s="696"/>
      <c r="B20" s="697"/>
      <c r="C20" s="696"/>
      <c r="D20" s="353" t="s">
        <v>3117</v>
      </c>
      <c r="E20" s="354" t="s">
        <v>3783</v>
      </c>
      <c r="F20" s="355"/>
      <c r="G20" s="356">
        <v>56</v>
      </c>
      <c r="H20" s="495">
        <v>7131</v>
      </c>
      <c r="I20" s="495">
        <v>2710</v>
      </c>
    </row>
    <row r="21" spans="1:9" ht="14">
      <c r="A21" s="691" t="s">
        <v>3082</v>
      </c>
      <c r="B21" s="692"/>
      <c r="C21" s="691" t="s">
        <v>3082</v>
      </c>
      <c r="D21" s="277" t="s">
        <v>3118</v>
      </c>
      <c r="E21" s="305" t="s">
        <v>3784</v>
      </c>
      <c r="F21" s="273"/>
      <c r="G21" s="276">
        <v>8</v>
      </c>
      <c r="H21" s="495">
        <v>1995</v>
      </c>
      <c r="I21" s="495">
        <v>759</v>
      </c>
    </row>
    <row r="22" spans="1:9" ht="14">
      <c r="A22" s="692"/>
      <c r="B22" s="692"/>
      <c r="C22" s="692"/>
      <c r="D22" s="277" t="s">
        <v>3119</v>
      </c>
      <c r="E22" s="305" t="s">
        <v>3785</v>
      </c>
      <c r="F22" s="273"/>
      <c r="G22" s="276">
        <v>14</v>
      </c>
      <c r="H22" s="495">
        <v>3106</v>
      </c>
      <c r="I22" s="495">
        <v>1181</v>
      </c>
    </row>
    <row r="23" spans="1:9" ht="14">
      <c r="A23" s="692"/>
      <c r="B23" s="692"/>
      <c r="C23" s="692"/>
      <c r="D23" s="277" t="s">
        <v>3120</v>
      </c>
      <c r="E23" s="305" t="s">
        <v>3786</v>
      </c>
      <c r="F23" s="273"/>
      <c r="G23" s="276">
        <v>20</v>
      </c>
      <c r="H23" s="495">
        <v>6262</v>
      </c>
      <c r="I23" s="495">
        <v>2380</v>
      </c>
    </row>
    <row r="24" spans="1:9" ht="14">
      <c r="A24" s="692"/>
      <c r="B24" s="692"/>
      <c r="C24" s="692"/>
      <c r="D24" s="277" t="s">
        <v>3121</v>
      </c>
      <c r="E24" s="305" t="s">
        <v>3787</v>
      </c>
      <c r="F24" s="273"/>
      <c r="G24" s="276">
        <v>22</v>
      </c>
      <c r="H24" s="495">
        <v>6503</v>
      </c>
      <c r="I24" s="495">
        <v>2472</v>
      </c>
    </row>
    <row r="25" spans="1:9" ht="14">
      <c r="A25" s="692"/>
      <c r="B25" s="692"/>
      <c r="C25" s="692"/>
      <c r="D25" s="277" t="s">
        <v>3122</v>
      </c>
      <c r="E25" s="305" t="s">
        <v>3788</v>
      </c>
      <c r="F25" s="273"/>
      <c r="G25" s="276">
        <v>28</v>
      </c>
      <c r="H25" s="495">
        <v>8458</v>
      </c>
      <c r="I25" s="495">
        <v>3215</v>
      </c>
    </row>
    <row r="26" spans="1:9" ht="14">
      <c r="A26" s="692"/>
      <c r="B26" s="692"/>
      <c r="C26" s="692"/>
      <c r="D26" s="277" t="s">
        <v>3123</v>
      </c>
      <c r="E26" s="305" t="s">
        <v>3789</v>
      </c>
      <c r="F26" s="273"/>
      <c r="G26" s="276">
        <v>35</v>
      </c>
      <c r="H26" s="495">
        <v>10010</v>
      </c>
      <c r="I26" s="495">
        <v>3804</v>
      </c>
    </row>
    <row r="27" spans="1:9" ht="14">
      <c r="A27" s="692"/>
      <c r="B27" s="692"/>
      <c r="C27" s="692"/>
      <c r="D27" s="277" t="s">
        <v>3124</v>
      </c>
      <c r="E27" s="305" t="s">
        <v>3790</v>
      </c>
      <c r="F27" s="273"/>
      <c r="G27" s="276">
        <v>40</v>
      </c>
      <c r="H27" s="495">
        <v>11372</v>
      </c>
      <c r="I27" s="495">
        <v>4322</v>
      </c>
    </row>
    <row r="28" spans="1:9" ht="14">
      <c r="A28" s="692"/>
      <c r="B28" s="692"/>
      <c r="C28" s="692"/>
      <c r="D28" s="277" t="s">
        <v>3125</v>
      </c>
      <c r="E28" s="305" t="s">
        <v>3791</v>
      </c>
      <c r="F28" s="273"/>
      <c r="G28" s="276">
        <v>45</v>
      </c>
      <c r="H28" s="495">
        <v>13965</v>
      </c>
      <c r="I28" s="495">
        <v>5307</v>
      </c>
    </row>
    <row r="29" spans="1:9" ht="14">
      <c r="A29" s="692"/>
      <c r="B29" s="692"/>
      <c r="C29" s="692"/>
      <c r="D29" s="277" t="s">
        <v>3126</v>
      </c>
      <c r="E29" s="305" t="s">
        <v>3792</v>
      </c>
      <c r="F29" s="310"/>
      <c r="G29" s="276">
        <v>56</v>
      </c>
      <c r="H29" s="495">
        <v>16136</v>
      </c>
      <c r="I29" s="495">
        <v>6132</v>
      </c>
    </row>
    <row r="30" spans="1:9" ht="12" customHeight="1">
      <c r="A30" s="684" t="s">
        <v>4073</v>
      </c>
      <c r="B30" s="684" t="s">
        <v>3084</v>
      </c>
      <c r="C30" s="684" t="s">
        <v>2790</v>
      </c>
      <c r="D30" s="277" t="s">
        <v>3715</v>
      </c>
      <c r="E30" s="305" t="s">
        <v>3793</v>
      </c>
      <c r="F30" s="688" t="s">
        <v>3716</v>
      </c>
      <c r="G30" s="309">
        <v>19.928828000000003</v>
      </c>
      <c r="H30" s="495">
        <v>2739</v>
      </c>
      <c r="I30" s="495">
        <v>1041</v>
      </c>
    </row>
    <row r="31" spans="1:9" ht="12" customHeight="1">
      <c r="A31" s="687"/>
      <c r="B31" s="687"/>
      <c r="C31" s="687"/>
      <c r="D31" s="277" t="s">
        <v>3717</v>
      </c>
      <c r="E31" s="305" t="s">
        <v>3794</v>
      </c>
      <c r="F31" s="689"/>
      <c r="G31" s="309">
        <v>22.273396000000002</v>
      </c>
      <c r="H31" s="495">
        <v>2890</v>
      </c>
      <c r="I31" s="495">
        <v>1099</v>
      </c>
    </row>
    <row r="32" spans="1:9" ht="12" customHeight="1">
      <c r="A32" s="687"/>
      <c r="B32" s="687"/>
      <c r="C32" s="687"/>
      <c r="D32" s="494" t="s">
        <v>3718</v>
      </c>
      <c r="E32" s="305" t="s">
        <v>3795</v>
      </c>
      <c r="F32" s="689"/>
      <c r="G32" s="309">
        <v>28.134816000000001</v>
      </c>
      <c r="H32" s="496">
        <v>2930</v>
      </c>
      <c r="I32" s="548">
        <v>1114</v>
      </c>
    </row>
    <row r="33" spans="1:9" ht="12" customHeight="1">
      <c r="A33" s="684"/>
      <c r="B33" s="684"/>
      <c r="C33" s="684"/>
      <c r="D33" s="277" t="s">
        <v>3719</v>
      </c>
      <c r="E33" s="305" t="s">
        <v>3796</v>
      </c>
      <c r="F33" s="688"/>
      <c r="G33" s="309">
        <v>35.168520000000001</v>
      </c>
      <c r="H33" s="495">
        <v>3694</v>
      </c>
      <c r="I33" s="495">
        <v>1404</v>
      </c>
    </row>
    <row r="34" spans="1:9" ht="12" customHeight="1">
      <c r="A34" s="687"/>
      <c r="B34" s="687"/>
      <c r="C34" s="687"/>
      <c r="D34" s="277" t="s">
        <v>3720</v>
      </c>
      <c r="E34" s="305" t="s">
        <v>3797</v>
      </c>
      <c r="F34" s="689"/>
      <c r="G34" s="309">
        <v>43.960650000000001</v>
      </c>
      <c r="H34" s="495">
        <v>4855</v>
      </c>
      <c r="I34" s="495">
        <v>1845</v>
      </c>
    </row>
    <row r="35" spans="1:9" ht="12" customHeight="1">
      <c r="A35" s="687"/>
      <c r="B35" s="687"/>
      <c r="C35" s="687"/>
      <c r="D35" s="277" t="s">
        <v>3721</v>
      </c>
      <c r="E35" s="305" t="s">
        <v>3798</v>
      </c>
      <c r="F35" s="689"/>
      <c r="G35" s="309">
        <v>56.269632000000001</v>
      </c>
      <c r="H35" s="495">
        <v>5156</v>
      </c>
      <c r="I35" s="495">
        <v>1960</v>
      </c>
    </row>
    <row r="36" spans="1:9" ht="12" customHeight="1">
      <c r="A36" s="684"/>
      <c r="B36" s="684"/>
      <c r="C36" s="684" t="s">
        <v>3722</v>
      </c>
      <c r="D36" s="277" t="s">
        <v>3723</v>
      </c>
      <c r="E36" s="305" t="s">
        <v>3799</v>
      </c>
      <c r="F36" s="688"/>
      <c r="G36" s="309">
        <v>7.0337040000000002</v>
      </c>
      <c r="H36" s="495">
        <v>1031</v>
      </c>
      <c r="I36" s="495">
        <v>392</v>
      </c>
    </row>
    <row r="37" spans="1:9" ht="12" customHeight="1">
      <c r="A37" s="684"/>
      <c r="B37" s="684"/>
      <c r="C37" s="684"/>
      <c r="D37" s="277" t="s">
        <v>3724</v>
      </c>
      <c r="E37" s="305" t="s">
        <v>3800</v>
      </c>
      <c r="F37" s="688"/>
      <c r="G37" s="309">
        <v>10.550556</v>
      </c>
      <c r="H37" s="495">
        <v>1317</v>
      </c>
      <c r="I37" s="495">
        <v>501</v>
      </c>
    </row>
    <row r="38" spans="1:9" ht="12" customHeight="1">
      <c r="A38" s="684"/>
      <c r="B38" s="684"/>
      <c r="C38" s="684"/>
      <c r="D38" s="277" t="s">
        <v>3725</v>
      </c>
      <c r="E38" s="305" t="s">
        <v>3800</v>
      </c>
      <c r="F38" s="688"/>
      <c r="G38" s="309">
        <v>11.722840000000001</v>
      </c>
      <c r="H38" s="495">
        <v>1342</v>
      </c>
      <c r="I38" s="495">
        <v>510</v>
      </c>
    </row>
    <row r="39" spans="1:9" ht="12.5" customHeight="1">
      <c r="A39" s="684"/>
      <c r="B39" s="684"/>
      <c r="C39" s="684"/>
      <c r="D39" s="277" t="s">
        <v>3726</v>
      </c>
      <c r="E39" s="305" t="s">
        <v>3801</v>
      </c>
      <c r="F39" s="688"/>
      <c r="G39" s="309">
        <v>14.067408</v>
      </c>
      <c r="H39" s="495">
        <v>1438</v>
      </c>
      <c r="I39" s="495">
        <v>547</v>
      </c>
    </row>
    <row r="40" spans="1:9" ht="12" customHeight="1">
      <c r="A40" s="684" t="s">
        <v>4074</v>
      </c>
      <c r="B40" s="684" t="s">
        <v>3084</v>
      </c>
      <c r="C40" s="684" t="s">
        <v>3727</v>
      </c>
      <c r="D40" s="277" t="s">
        <v>3728</v>
      </c>
      <c r="E40" s="305" t="s">
        <v>3802</v>
      </c>
      <c r="F40" s="685" t="s">
        <v>3917</v>
      </c>
      <c r="G40" s="309">
        <v>19.928828000000003</v>
      </c>
      <c r="H40" s="495">
        <v>5870</v>
      </c>
      <c r="I40" s="495">
        <v>2231</v>
      </c>
    </row>
    <row r="41" spans="1:9" ht="12" customHeight="1">
      <c r="A41" s="684"/>
      <c r="B41" s="684"/>
      <c r="C41" s="684"/>
      <c r="D41" s="277" t="s">
        <v>3730</v>
      </c>
      <c r="E41" s="305" t="s">
        <v>3803</v>
      </c>
      <c r="F41" s="685"/>
      <c r="G41" s="309">
        <v>22.273396000000002</v>
      </c>
      <c r="H41" s="495">
        <v>6191</v>
      </c>
      <c r="I41" s="495">
        <v>2353</v>
      </c>
    </row>
    <row r="42" spans="1:9" ht="12" customHeight="1">
      <c r="A42" s="684"/>
      <c r="B42" s="684"/>
      <c r="C42" s="684"/>
      <c r="D42" s="494" t="s">
        <v>3731</v>
      </c>
      <c r="E42" s="305" t="s">
        <v>3804</v>
      </c>
      <c r="F42" s="685"/>
      <c r="G42" s="309">
        <v>28.134816000000001</v>
      </c>
      <c r="H42" s="496">
        <v>6277</v>
      </c>
      <c r="I42" s="548">
        <v>2386</v>
      </c>
    </row>
    <row r="43" spans="1:9" ht="12" customHeight="1">
      <c r="A43" s="684"/>
      <c r="B43" s="684"/>
      <c r="C43" s="684"/>
      <c r="D43" s="277" t="s">
        <v>3732</v>
      </c>
      <c r="E43" s="305" t="s">
        <v>3805</v>
      </c>
      <c r="F43" s="685"/>
      <c r="G43" s="309">
        <v>35.168520000000001</v>
      </c>
      <c r="H43" s="495">
        <v>7824</v>
      </c>
      <c r="I43" s="495">
        <v>2974</v>
      </c>
    </row>
    <row r="44" spans="1:9" ht="12" customHeight="1">
      <c r="A44" s="684"/>
      <c r="B44" s="684"/>
      <c r="C44" s="684"/>
      <c r="D44" s="277" t="s">
        <v>3733</v>
      </c>
      <c r="E44" s="305" t="s">
        <v>3806</v>
      </c>
      <c r="F44" s="685"/>
      <c r="G44" s="309">
        <v>43.960650000000001</v>
      </c>
      <c r="H44" s="495">
        <v>11327</v>
      </c>
      <c r="I44" s="495">
        <v>4305</v>
      </c>
    </row>
    <row r="45" spans="1:9" ht="12" customHeight="1">
      <c r="A45" s="684"/>
      <c r="B45" s="684"/>
      <c r="C45" s="684"/>
      <c r="D45" s="277" t="s">
        <v>3734</v>
      </c>
      <c r="E45" s="305" t="s">
        <v>3807</v>
      </c>
      <c r="F45" s="685"/>
      <c r="G45" s="309">
        <v>56.269632000000001</v>
      </c>
      <c r="H45" s="495">
        <v>13729</v>
      </c>
      <c r="I45" s="495">
        <v>5218</v>
      </c>
    </row>
    <row r="46" spans="1:9" ht="12" customHeight="1">
      <c r="A46" s="684"/>
      <c r="B46" s="684"/>
      <c r="C46" s="684"/>
      <c r="D46" s="277" t="s">
        <v>3735</v>
      </c>
      <c r="E46" s="305" t="s">
        <v>3808</v>
      </c>
      <c r="F46" s="685"/>
      <c r="G46" s="309">
        <v>73.267750000000007</v>
      </c>
      <c r="H46" s="495">
        <v>15271</v>
      </c>
      <c r="I46" s="495">
        <v>5803</v>
      </c>
    </row>
    <row r="47" spans="1:9" ht="15" customHeight="1">
      <c r="A47" s="698" t="s">
        <v>3736</v>
      </c>
      <c r="B47" s="700" t="s">
        <v>3737</v>
      </c>
      <c r="C47" s="698" t="s">
        <v>3738</v>
      </c>
      <c r="D47" s="277" t="s">
        <v>3741</v>
      </c>
      <c r="E47" s="305" t="s">
        <v>3809</v>
      </c>
      <c r="F47" s="682" t="s">
        <v>3729</v>
      </c>
      <c r="G47" s="309">
        <v>20</v>
      </c>
      <c r="H47" s="495">
        <v>4443</v>
      </c>
      <c r="I47" s="495">
        <v>1689</v>
      </c>
    </row>
    <row r="48" spans="1:9" ht="14">
      <c r="A48" s="699"/>
      <c r="B48" s="699"/>
      <c r="C48" s="699"/>
      <c r="D48" s="277" t="s">
        <v>3739</v>
      </c>
      <c r="E48" s="305" t="s">
        <v>3810</v>
      </c>
      <c r="F48" s="683"/>
      <c r="G48" s="309">
        <v>22</v>
      </c>
      <c r="H48" s="495">
        <v>4669</v>
      </c>
      <c r="I48" s="495">
        <v>1775</v>
      </c>
    </row>
    <row r="49" spans="1:9" ht="14">
      <c r="A49" s="699"/>
      <c r="B49" s="699"/>
      <c r="C49" s="699"/>
      <c r="D49" s="277" t="s">
        <v>3740</v>
      </c>
      <c r="E49" s="305" t="s">
        <v>3811</v>
      </c>
      <c r="F49" s="683"/>
      <c r="G49" s="309">
        <v>28</v>
      </c>
      <c r="H49" s="495">
        <v>4845</v>
      </c>
      <c r="I49" s="495">
        <v>1842</v>
      </c>
    </row>
    <row r="50" spans="1:9">
      <c r="A50" s="306"/>
      <c r="B50" s="306"/>
      <c r="C50" s="306"/>
      <c r="D50" s="308"/>
      <c r="E50" s="307"/>
    </row>
    <row r="51" spans="1:9" ht="13">
      <c r="A51" s="306"/>
      <c r="B51" s="306"/>
      <c r="C51" s="541" t="s">
        <v>4083</v>
      </c>
      <c r="D51" s="542" t="s">
        <v>3731</v>
      </c>
      <c r="E51" s="543"/>
      <c r="F51" s="544"/>
      <c r="G51" s="545"/>
      <c r="H51" s="546">
        <v>9206</v>
      </c>
      <c r="I51" s="547">
        <v>3500</v>
      </c>
    </row>
    <row r="52" spans="1:9">
      <c r="A52" s="306"/>
      <c r="B52" s="306"/>
      <c r="C52" s="306"/>
      <c r="D52" s="308"/>
      <c r="E52" s="307"/>
    </row>
    <row r="53" spans="1:9">
      <c r="A53" s="306"/>
      <c r="B53" s="306"/>
      <c r="C53" s="306"/>
      <c r="D53" s="308"/>
      <c r="E53" s="307"/>
    </row>
    <row r="54" spans="1:9">
      <c r="A54" s="306"/>
      <c r="B54" s="306"/>
      <c r="C54" s="306"/>
      <c r="D54" s="308"/>
      <c r="E54" s="307"/>
    </row>
    <row r="55" spans="1:9">
      <c r="A55" s="306"/>
      <c r="B55" s="306"/>
      <c r="C55" s="306"/>
      <c r="D55" s="308"/>
      <c r="E55" s="307"/>
    </row>
    <row r="56" spans="1:9">
      <c r="A56" s="306"/>
      <c r="B56" s="306"/>
      <c r="C56" s="306"/>
      <c r="D56" s="308"/>
      <c r="E56" s="307"/>
    </row>
    <row r="57" spans="1:9">
      <c r="A57" s="306"/>
      <c r="B57" s="306"/>
      <c r="C57" s="306"/>
      <c r="D57" s="308"/>
      <c r="E57" s="307"/>
    </row>
    <row r="58" spans="1:9">
      <c r="A58" s="306"/>
      <c r="B58" s="306"/>
      <c r="C58" s="306"/>
      <c r="D58" s="308"/>
      <c r="E58" s="307"/>
    </row>
    <row r="59" spans="1:9">
      <c r="A59" s="306"/>
      <c r="B59" s="306"/>
      <c r="C59" s="306"/>
      <c r="D59" s="308"/>
      <c r="E59" s="307"/>
    </row>
    <row r="60" spans="1:9">
      <c r="A60" s="306"/>
      <c r="B60" s="306"/>
      <c r="C60" s="306"/>
      <c r="D60" s="308"/>
      <c r="E60" s="307"/>
    </row>
    <row r="61" spans="1:9">
      <c r="A61" s="306"/>
      <c r="B61" s="306"/>
      <c r="C61" s="306"/>
      <c r="D61" s="308"/>
      <c r="E61" s="307"/>
    </row>
    <row r="62" spans="1:9">
      <c r="A62" s="306"/>
      <c r="B62" s="306"/>
      <c r="C62" s="306"/>
      <c r="D62" s="308"/>
      <c r="E62" s="307"/>
    </row>
    <row r="63" spans="1:9">
      <c r="A63" s="306"/>
      <c r="B63" s="306"/>
      <c r="C63" s="306"/>
      <c r="D63" s="308"/>
      <c r="E63" s="307"/>
    </row>
    <row r="64" spans="1:9">
      <c r="A64" s="306"/>
      <c r="B64" s="306"/>
      <c r="C64" s="306"/>
      <c r="D64" s="308"/>
      <c r="E64" s="307"/>
    </row>
    <row r="65" spans="1:7">
      <c r="A65" s="306"/>
      <c r="B65" s="306"/>
      <c r="C65" s="306"/>
      <c r="D65" s="308"/>
      <c r="E65" s="307"/>
    </row>
    <row r="66" spans="1:7">
      <c r="A66" s="306"/>
      <c r="B66" s="306"/>
      <c r="C66" s="306"/>
      <c r="D66" s="308"/>
      <c r="E66" s="307"/>
    </row>
    <row r="67" spans="1:7">
      <c r="A67" s="306"/>
      <c r="B67" s="306"/>
      <c r="C67" s="306"/>
      <c r="D67" s="308"/>
      <c r="E67" s="307"/>
    </row>
    <row r="68" spans="1:7">
      <c r="A68" s="306"/>
      <c r="B68" s="306"/>
      <c r="C68" s="306"/>
      <c r="D68" s="308"/>
      <c r="E68" s="307"/>
    </row>
    <row r="69" spans="1:7">
      <c r="A69" s="306"/>
      <c r="B69" s="306"/>
      <c r="C69" s="306"/>
      <c r="D69" s="308"/>
      <c r="E69" s="307"/>
    </row>
    <row r="72" spans="1:7">
      <c r="A72" s="255"/>
      <c r="B72" s="280"/>
      <c r="C72" s="280"/>
      <c r="D72" s="280"/>
      <c r="E72" s="280"/>
      <c r="F72" s="270"/>
      <c r="G72" s="280"/>
    </row>
    <row r="73" spans="1:7">
      <c r="A73" s="256"/>
      <c r="B73" s="286"/>
      <c r="C73" s="286"/>
      <c r="D73" s="278"/>
      <c r="E73" s="278"/>
      <c r="F73" s="281"/>
      <c r="G73" s="278"/>
    </row>
    <row r="74" spans="1:7" ht="15" customHeight="1">
      <c r="A74" s="256"/>
      <c r="B74" s="256"/>
      <c r="C74" s="256"/>
      <c r="D74" s="256"/>
      <c r="E74" s="256"/>
      <c r="F74" s="270"/>
      <c r="G74" s="256"/>
    </row>
    <row r="75" spans="1:7" ht="15" customHeight="1">
      <c r="A75" s="256"/>
      <c r="B75" s="256"/>
      <c r="C75" s="256"/>
      <c r="D75" s="256"/>
      <c r="E75" s="256"/>
      <c r="F75" s="270"/>
      <c r="G75" s="256"/>
    </row>
    <row r="76" spans="1:7" ht="15" customHeight="1">
      <c r="A76" s="256"/>
      <c r="B76" s="256"/>
      <c r="C76" s="256"/>
      <c r="D76" s="256"/>
      <c r="E76" s="256"/>
      <c r="F76" s="270"/>
      <c r="G76" s="256"/>
    </row>
    <row r="77" spans="1:7" ht="15" customHeight="1">
      <c r="A77" s="256"/>
      <c r="B77" s="256"/>
      <c r="C77" s="256"/>
      <c r="D77" s="256"/>
      <c r="E77" s="256"/>
      <c r="F77" s="270"/>
      <c r="G77" s="256"/>
    </row>
    <row r="78" spans="1:7" ht="15" customHeight="1">
      <c r="A78" s="256"/>
      <c r="B78" s="256"/>
      <c r="C78" s="256"/>
      <c r="D78" s="256"/>
      <c r="E78" s="256"/>
      <c r="F78" s="270"/>
      <c r="G78" s="256"/>
    </row>
    <row r="79" spans="1:7" ht="15" customHeight="1">
      <c r="A79" s="256"/>
      <c r="B79" s="272"/>
      <c r="C79" s="272"/>
      <c r="D79" s="272"/>
      <c r="E79" s="272"/>
      <c r="F79" s="271"/>
      <c r="G79" s="272"/>
    </row>
    <row r="80" spans="1:7" ht="15.5" customHeight="1">
      <c r="A80" s="272"/>
      <c r="B80" s="272"/>
      <c r="C80" s="272"/>
      <c r="D80" s="272"/>
      <c r="E80" s="272"/>
      <c r="F80" s="271"/>
      <c r="G80" s="272"/>
    </row>
    <row r="81" spans="1:7" ht="15" customHeight="1">
      <c r="A81" s="272"/>
      <c r="B81" s="272"/>
      <c r="C81" s="272"/>
      <c r="D81" s="272"/>
      <c r="E81" s="272"/>
      <c r="F81" s="271"/>
      <c r="G81" s="272"/>
    </row>
    <row r="82" spans="1:7">
      <c r="A82" s="270"/>
      <c r="B82" s="270"/>
      <c r="C82" s="270"/>
      <c r="D82" s="280"/>
      <c r="E82" s="280"/>
      <c r="F82" s="270"/>
      <c r="G82" s="280"/>
    </row>
    <row r="83" spans="1:7">
      <c r="A83" s="286"/>
      <c r="B83" s="286"/>
      <c r="C83" s="286"/>
      <c r="D83" s="280"/>
      <c r="E83" s="280"/>
      <c r="F83" s="270"/>
      <c r="G83" s="280"/>
    </row>
    <row r="84" spans="1:7">
      <c r="A84" s="690"/>
      <c r="B84" s="690"/>
      <c r="C84" s="690"/>
    </row>
  </sheetData>
  <mergeCells count="23">
    <mergeCell ref="A84:C84"/>
    <mergeCell ref="A2:A11"/>
    <mergeCell ref="A12:A20"/>
    <mergeCell ref="A21:A29"/>
    <mergeCell ref="B2:B29"/>
    <mergeCell ref="C2:C6"/>
    <mergeCell ref="C7:C11"/>
    <mergeCell ref="C12:C20"/>
    <mergeCell ref="C21:C29"/>
    <mergeCell ref="A47:A49"/>
    <mergeCell ref="B47:B49"/>
    <mergeCell ref="C47:C49"/>
    <mergeCell ref="B1:C1"/>
    <mergeCell ref="A30:A39"/>
    <mergeCell ref="B30:B39"/>
    <mergeCell ref="C30:C35"/>
    <mergeCell ref="F30:F39"/>
    <mergeCell ref="C36:C39"/>
    <mergeCell ref="F47:F49"/>
    <mergeCell ref="A40:A46"/>
    <mergeCell ref="B40:B46"/>
    <mergeCell ref="C40:C46"/>
    <mergeCell ref="F40:F46"/>
  </mergeCells>
  <phoneticPr fontId="46" type="noConversion"/>
  <pageMargins left="0.16944444444444401" right="0.389583333333333" top="0.31944444444444398" bottom="0.23958333333333301" header="0.25972222222222202" footer="0.2"/>
  <pageSetup paperSize="9" scale="6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92"/>
  <sheetViews>
    <sheetView zoomScale="150" zoomScaleNormal="100" workbookViewId="0">
      <pane ySplit="2" topLeftCell="A64" activePane="bottomLeft" state="frozen"/>
      <selection pane="bottomLeft" activeCell="I47" sqref="I47"/>
    </sheetView>
  </sheetViews>
  <sheetFormatPr baseColWidth="10" defaultColWidth="9" defaultRowHeight="16"/>
  <cols>
    <col min="1" max="1" width="10.1640625" style="484" customWidth="1"/>
    <col min="2" max="2" width="15.6640625" style="484" customWidth="1"/>
    <col min="3" max="3" width="23.6640625" style="485" customWidth="1"/>
    <col min="4" max="4" width="7.1640625" style="486" customWidth="1"/>
    <col min="5" max="5" width="19" style="486" customWidth="1"/>
    <col min="6" max="6" width="30.6640625" style="485" customWidth="1"/>
    <col min="7" max="7" width="9" style="513"/>
    <col min="8" max="8" width="9" style="513" customWidth="1"/>
    <col min="9" max="12" width="9" style="467" customWidth="1"/>
    <col min="13" max="16384" width="9" style="467"/>
  </cols>
  <sheetData>
    <row r="1" spans="1:9">
      <c r="G1" s="514"/>
      <c r="H1" s="530">
        <v>0.38</v>
      </c>
    </row>
    <row r="2" spans="1:9" ht="46" thickBot="1">
      <c r="A2" s="465" t="s">
        <v>3127</v>
      </c>
      <c r="B2" s="465" t="s">
        <v>3128</v>
      </c>
      <c r="C2" s="466" t="s">
        <v>3881</v>
      </c>
      <c r="D2" s="466" t="s">
        <v>3129</v>
      </c>
      <c r="E2" s="466" t="s">
        <v>3130</v>
      </c>
      <c r="F2" s="465" t="s">
        <v>2238</v>
      </c>
      <c r="G2" s="516" t="s">
        <v>4077</v>
      </c>
      <c r="H2" s="516" t="s">
        <v>4078</v>
      </c>
    </row>
    <row r="3" spans="1:9" ht="15" customHeight="1">
      <c r="A3" s="705" t="s">
        <v>3133</v>
      </c>
      <c r="B3" s="705" t="s">
        <v>4075</v>
      </c>
      <c r="C3" s="468" t="s">
        <v>3949</v>
      </c>
      <c r="D3" s="469">
        <v>200</v>
      </c>
      <c r="E3" s="469" t="s">
        <v>3134</v>
      </c>
      <c r="F3" s="711" t="s">
        <v>3135</v>
      </c>
      <c r="G3" s="531">
        <v>442</v>
      </c>
      <c r="H3" s="537">
        <v>168</v>
      </c>
      <c r="I3" s="861">
        <f>H3+$H$91</f>
        <v>225</v>
      </c>
    </row>
    <row r="4" spans="1:9">
      <c r="A4" s="706"/>
      <c r="B4" s="706"/>
      <c r="C4" s="470" t="s">
        <v>3950</v>
      </c>
      <c r="D4" s="469">
        <v>300</v>
      </c>
      <c r="E4" s="469" t="s">
        <v>3136</v>
      </c>
      <c r="F4" s="712"/>
      <c r="G4" s="532">
        <v>481</v>
      </c>
      <c r="H4" s="537">
        <v>183</v>
      </c>
      <c r="I4" s="861">
        <f t="shared" ref="I4:I32" si="0">H4+$H$91</f>
        <v>240</v>
      </c>
    </row>
    <row r="5" spans="1:9">
      <c r="A5" s="706"/>
      <c r="B5" s="706"/>
      <c r="C5" s="470" t="s">
        <v>3951</v>
      </c>
      <c r="D5" s="469">
        <v>400</v>
      </c>
      <c r="E5" s="469" t="s">
        <v>3137</v>
      </c>
      <c r="F5" s="712"/>
      <c r="G5" s="518">
        <v>533</v>
      </c>
      <c r="H5" s="537">
        <v>203</v>
      </c>
      <c r="I5" s="861">
        <f t="shared" si="0"/>
        <v>260</v>
      </c>
    </row>
    <row r="6" spans="1:9">
      <c r="A6" s="706"/>
      <c r="B6" s="706"/>
      <c r="C6" s="470" t="s">
        <v>3952</v>
      </c>
      <c r="D6" s="469">
        <v>500</v>
      </c>
      <c r="E6" s="469" t="s">
        <v>3138</v>
      </c>
      <c r="F6" s="712"/>
      <c r="G6" s="518">
        <v>579</v>
      </c>
      <c r="H6" s="537">
        <v>221</v>
      </c>
      <c r="I6" s="861">
        <f t="shared" si="0"/>
        <v>278</v>
      </c>
    </row>
    <row r="7" spans="1:9">
      <c r="A7" s="706"/>
      <c r="B7" s="706"/>
      <c r="C7" s="470" t="s">
        <v>3953</v>
      </c>
      <c r="D7" s="469">
        <v>600</v>
      </c>
      <c r="E7" s="469" t="s">
        <v>3139</v>
      </c>
      <c r="F7" s="712"/>
      <c r="G7" s="518">
        <v>624</v>
      </c>
      <c r="H7" s="537">
        <v>238</v>
      </c>
      <c r="I7" s="861">
        <f t="shared" si="0"/>
        <v>295</v>
      </c>
    </row>
    <row r="8" spans="1:9">
      <c r="A8" s="706"/>
      <c r="B8" s="706"/>
      <c r="C8" s="470" t="s">
        <v>3954</v>
      </c>
      <c r="D8" s="469">
        <v>700</v>
      </c>
      <c r="E8" s="469" t="s">
        <v>3140</v>
      </c>
      <c r="F8" s="712"/>
      <c r="G8" s="518">
        <v>774</v>
      </c>
      <c r="H8" s="537">
        <v>295</v>
      </c>
      <c r="I8" s="861">
        <f t="shared" si="0"/>
        <v>352</v>
      </c>
    </row>
    <row r="9" spans="1:9">
      <c r="A9" s="706"/>
      <c r="B9" s="706"/>
      <c r="C9" s="470" t="s">
        <v>3955</v>
      </c>
      <c r="D9" s="469">
        <v>800</v>
      </c>
      <c r="E9" s="469" t="s">
        <v>3141</v>
      </c>
      <c r="F9" s="712"/>
      <c r="G9" s="518">
        <v>884</v>
      </c>
      <c r="H9" s="537">
        <v>336</v>
      </c>
      <c r="I9" s="861">
        <f t="shared" si="0"/>
        <v>393</v>
      </c>
    </row>
    <row r="10" spans="1:9">
      <c r="A10" s="706"/>
      <c r="B10" s="706"/>
      <c r="C10" s="470" t="s">
        <v>3956</v>
      </c>
      <c r="D10" s="469">
        <v>1000</v>
      </c>
      <c r="E10" s="469" t="s">
        <v>3142</v>
      </c>
      <c r="F10" s="712"/>
      <c r="G10" s="518">
        <v>930</v>
      </c>
      <c r="H10" s="537">
        <v>354</v>
      </c>
      <c r="I10" s="861">
        <f t="shared" si="0"/>
        <v>411</v>
      </c>
    </row>
    <row r="11" spans="1:9">
      <c r="A11" s="706"/>
      <c r="B11" s="706"/>
      <c r="C11" s="470" t="s">
        <v>3957</v>
      </c>
      <c r="D11" s="469">
        <v>1200</v>
      </c>
      <c r="E11" s="469" t="s">
        <v>3143</v>
      </c>
      <c r="F11" s="712"/>
      <c r="G11" s="518">
        <v>1008</v>
      </c>
      <c r="H11" s="537">
        <v>384</v>
      </c>
      <c r="I11" s="861">
        <f t="shared" si="0"/>
        <v>441</v>
      </c>
    </row>
    <row r="12" spans="1:9">
      <c r="A12" s="706"/>
      <c r="B12" s="707"/>
      <c r="C12" s="471" t="s">
        <v>3958</v>
      </c>
      <c r="D12" s="469">
        <v>1400</v>
      </c>
      <c r="E12" s="469" t="s">
        <v>3144</v>
      </c>
      <c r="F12" s="713"/>
      <c r="G12" s="518">
        <v>1118</v>
      </c>
      <c r="H12" s="537">
        <v>425</v>
      </c>
      <c r="I12" s="861">
        <f t="shared" si="0"/>
        <v>482</v>
      </c>
    </row>
    <row r="13" spans="1:9" ht="25.5" customHeight="1">
      <c r="A13" s="706"/>
      <c r="B13" s="705" t="s">
        <v>4076</v>
      </c>
      <c r="C13" s="470" t="s">
        <v>3959</v>
      </c>
      <c r="D13" s="469">
        <v>200</v>
      </c>
      <c r="E13" s="469" t="s">
        <v>3145</v>
      </c>
      <c r="F13" s="705" t="s">
        <v>3146</v>
      </c>
      <c r="G13" s="518">
        <v>429</v>
      </c>
      <c r="H13" s="537">
        <v>164</v>
      </c>
      <c r="I13" s="861">
        <f t="shared" si="0"/>
        <v>221</v>
      </c>
    </row>
    <row r="14" spans="1:9">
      <c r="A14" s="706"/>
      <c r="B14" s="706"/>
      <c r="C14" s="470" t="s">
        <v>3960</v>
      </c>
      <c r="D14" s="469">
        <v>300</v>
      </c>
      <c r="E14" s="469" t="s">
        <v>3147</v>
      </c>
      <c r="F14" s="706"/>
      <c r="G14" s="518">
        <v>488</v>
      </c>
      <c r="H14" s="537">
        <v>186</v>
      </c>
      <c r="I14" s="861">
        <f t="shared" si="0"/>
        <v>243</v>
      </c>
    </row>
    <row r="15" spans="1:9">
      <c r="A15" s="706"/>
      <c r="B15" s="706"/>
      <c r="C15" s="470" t="s">
        <v>3961</v>
      </c>
      <c r="D15" s="469">
        <v>400</v>
      </c>
      <c r="E15" s="469" t="s">
        <v>3148</v>
      </c>
      <c r="F15" s="706"/>
      <c r="G15" s="518">
        <v>520</v>
      </c>
      <c r="H15" s="537">
        <v>198</v>
      </c>
      <c r="I15" s="861">
        <f t="shared" si="0"/>
        <v>255</v>
      </c>
    </row>
    <row r="16" spans="1:9">
      <c r="A16" s="706"/>
      <c r="B16" s="706"/>
      <c r="C16" s="470" t="s">
        <v>3962</v>
      </c>
      <c r="D16" s="469">
        <v>500</v>
      </c>
      <c r="E16" s="469" t="s">
        <v>3149</v>
      </c>
      <c r="F16" s="706"/>
      <c r="G16" s="518">
        <v>559</v>
      </c>
      <c r="H16" s="537">
        <v>213</v>
      </c>
      <c r="I16" s="861">
        <f t="shared" si="0"/>
        <v>270</v>
      </c>
    </row>
    <row r="17" spans="1:9">
      <c r="A17" s="706"/>
      <c r="B17" s="706"/>
      <c r="C17" s="470" t="s">
        <v>3963</v>
      </c>
      <c r="D17" s="469">
        <v>600</v>
      </c>
      <c r="E17" s="469" t="s">
        <v>3150</v>
      </c>
      <c r="F17" s="706"/>
      <c r="G17" s="518">
        <v>618</v>
      </c>
      <c r="H17" s="537">
        <v>235</v>
      </c>
      <c r="I17" s="861">
        <f t="shared" si="0"/>
        <v>292</v>
      </c>
    </row>
    <row r="18" spans="1:9">
      <c r="A18" s="706"/>
      <c r="B18" s="706"/>
      <c r="C18" s="470" t="s">
        <v>3964</v>
      </c>
      <c r="D18" s="469">
        <v>700</v>
      </c>
      <c r="E18" s="469" t="s">
        <v>3151</v>
      </c>
      <c r="F18" s="706"/>
      <c r="G18" s="518">
        <v>800</v>
      </c>
      <c r="H18" s="537">
        <v>304</v>
      </c>
      <c r="I18" s="861">
        <f t="shared" si="0"/>
        <v>361</v>
      </c>
    </row>
    <row r="19" spans="1:9">
      <c r="A19" s="706"/>
      <c r="B19" s="706"/>
      <c r="C19" s="470" t="s">
        <v>3965</v>
      </c>
      <c r="D19" s="469">
        <v>800</v>
      </c>
      <c r="E19" s="469" t="s">
        <v>3152</v>
      </c>
      <c r="F19" s="706"/>
      <c r="G19" s="518">
        <v>871</v>
      </c>
      <c r="H19" s="537">
        <v>331</v>
      </c>
      <c r="I19" s="861">
        <f t="shared" si="0"/>
        <v>388</v>
      </c>
    </row>
    <row r="20" spans="1:9">
      <c r="A20" s="706"/>
      <c r="B20" s="706"/>
      <c r="C20" s="470" t="s">
        <v>3966</v>
      </c>
      <c r="D20" s="469">
        <v>1000</v>
      </c>
      <c r="E20" s="469" t="s">
        <v>3153</v>
      </c>
      <c r="F20" s="706"/>
      <c r="G20" s="518">
        <v>923</v>
      </c>
      <c r="H20" s="537">
        <v>351</v>
      </c>
      <c r="I20" s="861">
        <f t="shared" si="0"/>
        <v>408</v>
      </c>
    </row>
    <row r="21" spans="1:9">
      <c r="A21" s="706"/>
      <c r="B21" s="706"/>
      <c r="C21" s="470" t="s">
        <v>3967</v>
      </c>
      <c r="D21" s="469">
        <v>1200</v>
      </c>
      <c r="E21" s="469" t="s">
        <v>3154</v>
      </c>
      <c r="F21" s="706"/>
      <c r="G21" s="518">
        <v>1027</v>
      </c>
      <c r="H21" s="537">
        <v>391</v>
      </c>
      <c r="I21" s="861">
        <f t="shared" si="0"/>
        <v>448</v>
      </c>
    </row>
    <row r="22" spans="1:9">
      <c r="A22" s="706"/>
      <c r="B22" s="707"/>
      <c r="C22" s="470" t="s">
        <v>3968</v>
      </c>
      <c r="D22" s="469">
        <v>1400</v>
      </c>
      <c r="E22" s="469" t="s">
        <v>3155</v>
      </c>
      <c r="F22" s="707"/>
      <c r="G22" s="518">
        <v>1118</v>
      </c>
      <c r="H22" s="537">
        <v>425</v>
      </c>
      <c r="I22" s="861">
        <f t="shared" si="0"/>
        <v>482</v>
      </c>
    </row>
    <row r="23" spans="1:9" ht="15" customHeight="1">
      <c r="A23" s="706"/>
      <c r="B23" s="705" t="s">
        <v>4076</v>
      </c>
      <c r="C23" s="470" t="s">
        <v>3969</v>
      </c>
      <c r="D23" s="469">
        <v>200</v>
      </c>
      <c r="E23" s="469" t="s">
        <v>3134</v>
      </c>
      <c r="F23" s="706" t="s">
        <v>3156</v>
      </c>
      <c r="G23" s="518">
        <v>468</v>
      </c>
      <c r="H23" s="537">
        <v>178</v>
      </c>
      <c r="I23" s="861">
        <f t="shared" si="0"/>
        <v>235</v>
      </c>
    </row>
    <row r="24" spans="1:9">
      <c r="A24" s="706"/>
      <c r="B24" s="706"/>
      <c r="C24" s="470" t="s">
        <v>3970</v>
      </c>
      <c r="D24" s="469">
        <v>300</v>
      </c>
      <c r="E24" s="469" t="s">
        <v>3136</v>
      </c>
      <c r="F24" s="706"/>
      <c r="G24" s="518">
        <v>533</v>
      </c>
      <c r="H24" s="537">
        <v>203</v>
      </c>
      <c r="I24" s="861">
        <f t="shared" si="0"/>
        <v>260</v>
      </c>
    </row>
    <row r="25" spans="1:9">
      <c r="A25" s="706"/>
      <c r="B25" s="706"/>
      <c r="C25" s="470" t="s">
        <v>3971</v>
      </c>
      <c r="D25" s="469">
        <v>400</v>
      </c>
      <c r="E25" s="469" t="s">
        <v>3137</v>
      </c>
      <c r="F25" s="706"/>
      <c r="G25" s="518">
        <v>559</v>
      </c>
      <c r="H25" s="537">
        <v>213</v>
      </c>
      <c r="I25" s="861">
        <f t="shared" si="0"/>
        <v>270</v>
      </c>
    </row>
    <row r="26" spans="1:9">
      <c r="A26" s="706"/>
      <c r="B26" s="706"/>
      <c r="C26" s="470" t="s">
        <v>3972</v>
      </c>
      <c r="D26" s="469">
        <v>500</v>
      </c>
      <c r="E26" s="469" t="s">
        <v>3138</v>
      </c>
      <c r="F26" s="706"/>
      <c r="G26" s="518">
        <v>605</v>
      </c>
      <c r="H26" s="537">
        <v>230</v>
      </c>
      <c r="I26" s="861">
        <f t="shared" si="0"/>
        <v>287</v>
      </c>
    </row>
    <row r="27" spans="1:9">
      <c r="A27" s="706"/>
      <c r="B27" s="706"/>
      <c r="C27" s="470" t="s">
        <v>3973</v>
      </c>
      <c r="D27" s="469">
        <v>600</v>
      </c>
      <c r="E27" s="469" t="s">
        <v>3139</v>
      </c>
      <c r="F27" s="706"/>
      <c r="G27" s="518">
        <v>670</v>
      </c>
      <c r="H27" s="537">
        <v>255</v>
      </c>
      <c r="I27" s="861">
        <f t="shared" si="0"/>
        <v>312</v>
      </c>
    </row>
    <row r="28" spans="1:9">
      <c r="A28" s="706"/>
      <c r="B28" s="706"/>
      <c r="C28" s="470" t="s">
        <v>3974</v>
      </c>
      <c r="D28" s="469">
        <v>700</v>
      </c>
      <c r="E28" s="469" t="s">
        <v>3140</v>
      </c>
      <c r="F28" s="706"/>
      <c r="G28" s="518">
        <v>832</v>
      </c>
      <c r="H28" s="537">
        <v>317</v>
      </c>
      <c r="I28" s="861">
        <f t="shared" si="0"/>
        <v>374</v>
      </c>
    </row>
    <row r="29" spans="1:9">
      <c r="A29" s="706"/>
      <c r="B29" s="706"/>
      <c r="C29" s="470" t="s">
        <v>3975</v>
      </c>
      <c r="D29" s="469">
        <v>800</v>
      </c>
      <c r="E29" s="469" t="s">
        <v>3141</v>
      </c>
      <c r="F29" s="706"/>
      <c r="G29" s="518">
        <v>936</v>
      </c>
      <c r="H29" s="537">
        <v>356</v>
      </c>
      <c r="I29" s="861">
        <f t="shared" si="0"/>
        <v>413</v>
      </c>
    </row>
    <row r="30" spans="1:9">
      <c r="A30" s="706"/>
      <c r="B30" s="706"/>
      <c r="C30" s="470" t="s">
        <v>3976</v>
      </c>
      <c r="D30" s="469">
        <v>1000</v>
      </c>
      <c r="E30" s="469" t="s">
        <v>3142</v>
      </c>
      <c r="F30" s="706"/>
      <c r="G30" s="518">
        <v>995</v>
      </c>
      <c r="H30" s="537">
        <v>379</v>
      </c>
      <c r="I30" s="861">
        <f t="shared" si="0"/>
        <v>436</v>
      </c>
    </row>
    <row r="31" spans="1:9">
      <c r="A31" s="706"/>
      <c r="B31" s="706"/>
      <c r="C31" s="470" t="s">
        <v>3977</v>
      </c>
      <c r="D31" s="469">
        <v>1200</v>
      </c>
      <c r="E31" s="469" t="s">
        <v>3143</v>
      </c>
      <c r="F31" s="706"/>
      <c r="G31" s="518">
        <v>1118</v>
      </c>
      <c r="H31" s="537">
        <v>425</v>
      </c>
      <c r="I31" s="861">
        <f t="shared" si="0"/>
        <v>482</v>
      </c>
    </row>
    <row r="32" spans="1:9">
      <c r="A32" s="706"/>
      <c r="B32" s="707"/>
      <c r="C32" s="471" t="s">
        <v>3978</v>
      </c>
      <c r="D32" s="469">
        <v>1400</v>
      </c>
      <c r="E32" s="469" t="s">
        <v>3144</v>
      </c>
      <c r="F32" s="707"/>
      <c r="G32" s="518">
        <v>1203</v>
      </c>
      <c r="H32" s="537">
        <v>458</v>
      </c>
      <c r="I32" s="861">
        <f t="shared" si="0"/>
        <v>515</v>
      </c>
    </row>
    <row r="33" spans="1:9" ht="15" customHeight="1">
      <c r="A33" s="705" t="s">
        <v>3157</v>
      </c>
      <c r="B33" s="705" t="s">
        <v>3158</v>
      </c>
      <c r="C33" s="472" t="s">
        <v>1516</v>
      </c>
      <c r="D33" s="469" t="s">
        <v>3159</v>
      </c>
      <c r="E33" s="469"/>
      <c r="F33" s="714" t="s">
        <v>3857</v>
      </c>
      <c r="G33" s="518">
        <v>1105</v>
      </c>
      <c r="H33" s="537">
        <v>420</v>
      </c>
    </row>
    <row r="34" spans="1:9">
      <c r="A34" s="706"/>
      <c r="B34" s="706"/>
      <c r="C34" s="472" t="s">
        <v>1519</v>
      </c>
      <c r="D34" s="469" t="s">
        <v>3160</v>
      </c>
      <c r="E34" s="469"/>
      <c r="F34" s="715"/>
      <c r="G34" s="518">
        <v>1183</v>
      </c>
      <c r="H34" s="537">
        <v>450</v>
      </c>
    </row>
    <row r="35" spans="1:9">
      <c r="A35" s="706"/>
      <c r="B35" s="706"/>
      <c r="C35" s="472" t="s">
        <v>1522</v>
      </c>
      <c r="D35" s="469" t="s">
        <v>3161</v>
      </c>
      <c r="E35" s="469"/>
      <c r="F35" s="715"/>
      <c r="G35" s="518">
        <v>1235</v>
      </c>
      <c r="H35" s="537">
        <v>470</v>
      </c>
    </row>
    <row r="36" spans="1:9">
      <c r="A36" s="706"/>
      <c r="B36" s="706"/>
      <c r="C36" s="472" t="s">
        <v>1525</v>
      </c>
      <c r="D36" s="469" t="s">
        <v>3162</v>
      </c>
      <c r="E36" s="469"/>
      <c r="F36" s="715"/>
      <c r="G36" s="518">
        <v>1320</v>
      </c>
      <c r="H36" s="537">
        <v>502</v>
      </c>
    </row>
    <row r="37" spans="1:9">
      <c r="A37" s="706"/>
      <c r="B37" s="706"/>
      <c r="C37" s="472" t="s">
        <v>1528</v>
      </c>
      <c r="D37" s="469" t="s">
        <v>3163</v>
      </c>
      <c r="E37" s="469"/>
      <c r="F37" s="715"/>
      <c r="G37" s="518">
        <v>1651</v>
      </c>
      <c r="H37" s="537">
        <v>628</v>
      </c>
    </row>
    <row r="38" spans="1:9">
      <c r="A38" s="706"/>
      <c r="B38" s="706"/>
      <c r="C38" s="472" t="s">
        <v>1531</v>
      </c>
      <c r="D38" s="469" t="s">
        <v>3164</v>
      </c>
      <c r="E38" s="469"/>
      <c r="F38" s="715"/>
      <c r="G38" s="518">
        <v>1807</v>
      </c>
      <c r="H38" s="537">
        <v>687</v>
      </c>
    </row>
    <row r="39" spans="1:9">
      <c r="A39" s="706"/>
      <c r="B39" s="707"/>
      <c r="C39" s="472" t="s">
        <v>3858</v>
      </c>
      <c r="D39" s="469" t="s">
        <v>3165</v>
      </c>
      <c r="E39" s="469"/>
      <c r="F39" s="716"/>
      <c r="G39" s="518">
        <v>1937</v>
      </c>
      <c r="H39" s="537">
        <v>737</v>
      </c>
    </row>
    <row r="40" spans="1:9" ht="15" customHeight="1">
      <c r="A40" s="706"/>
      <c r="B40" s="705" t="s">
        <v>3166</v>
      </c>
      <c r="C40" s="472" t="s">
        <v>1537</v>
      </c>
      <c r="D40" s="469" t="s">
        <v>3159</v>
      </c>
      <c r="E40" s="469"/>
      <c r="F40" s="714" t="s">
        <v>3167</v>
      </c>
      <c r="G40" s="518">
        <v>1378</v>
      </c>
      <c r="H40" s="537">
        <v>524</v>
      </c>
    </row>
    <row r="41" spans="1:9">
      <c r="A41" s="706"/>
      <c r="B41" s="706"/>
      <c r="C41" s="472" t="s">
        <v>1539</v>
      </c>
      <c r="D41" s="469" t="s">
        <v>3160</v>
      </c>
      <c r="E41" s="469"/>
      <c r="F41" s="715"/>
      <c r="G41" s="518">
        <v>1463</v>
      </c>
      <c r="H41" s="537">
        <v>556</v>
      </c>
    </row>
    <row r="42" spans="1:9">
      <c r="A42" s="706"/>
      <c r="B42" s="706"/>
      <c r="C42" s="472" t="s">
        <v>1541</v>
      </c>
      <c r="D42" s="469" t="s">
        <v>3161</v>
      </c>
      <c r="E42" s="469"/>
      <c r="F42" s="715"/>
      <c r="G42" s="518">
        <v>1489</v>
      </c>
      <c r="H42" s="537">
        <v>566</v>
      </c>
    </row>
    <row r="43" spans="1:9">
      <c r="A43" s="706"/>
      <c r="B43" s="706"/>
      <c r="C43" s="472" t="s">
        <v>1543</v>
      </c>
      <c r="D43" s="469" t="s">
        <v>3162</v>
      </c>
      <c r="E43" s="469"/>
      <c r="F43" s="715"/>
      <c r="G43" s="518">
        <v>1586</v>
      </c>
      <c r="H43" s="537">
        <v>603</v>
      </c>
    </row>
    <row r="44" spans="1:9" ht="16.5" customHeight="1">
      <c r="A44" s="706"/>
      <c r="B44" s="706"/>
      <c r="C44" s="472" t="s">
        <v>1545</v>
      </c>
      <c r="D44" s="469" t="s">
        <v>3163</v>
      </c>
      <c r="E44" s="469"/>
      <c r="F44" s="715"/>
      <c r="G44" s="518">
        <v>2184</v>
      </c>
      <c r="H44" s="537">
        <v>830</v>
      </c>
    </row>
    <row r="45" spans="1:9" ht="16.5" customHeight="1">
      <c r="A45" s="706"/>
      <c r="B45" s="706"/>
      <c r="C45" s="472" t="s">
        <v>1547</v>
      </c>
      <c r="D45" s="469" t="s">
        <v>3164</v>
      </c>
      <c r="E45" s="469"/>
      <c r="F45" s="715"/>
      <c r="G45" s="518">
        <v>2210</v>
      </c>
      <c r="H45" s="537">
        <v>840</v>
      </c>
    </row>
    <row r="46" spans="1:9" ht="16.5" customHeight="1">
      <c r="A46" s="707"/>
      <c r="B46" s="707"/>
      <c r="C46" s="472" t="s">
        <v>1549</v>
      </c>
      <c r="D46" s="469" t="s">
        <v>3165</v>
      </c>
      <c r="E46" s="469"/>
      <c r="F46" s="716"/>
      <c r="G46" s="518">
        <v>2334</v>
      </c>
      <c r="H46" s="537">
        <v>887</v>
      </c>
    </row>
    <row r="47" spans="1:9" s="475" customFormat="1" ht="15" customHeight="1">
      <c r="A47" s="708" t="s">
        <v>3168</v>
      </c>
      <c r="B47" s="720" t="s">
        <v>3169</v>
      </c>
      <c r="C47" s="473" t="s">
        <v>3979</v>
      </c>
      <c r="D47" s="474">
        <v>200</v>
      </c>
      <c r="E47" s="473">
        <v>22026211000680</v>
      </c>
      <c r="F47" s="701" t="s">
        <v>3170</v>
      </c>
      <c r="G47" s="518">
        <v>494</v>
      </c>
      <c r="H47" s="537">
        <v>188</v>
      </c>
      <c r="I47" s="862"/>
    </row>
    <row r="48" spans="1:9" s="475" customFormat="1">
      <c r="A48" s="709"/>
      <c r="B48" s="721"/>
      <c r="C48" s="473" t="s">
        <v>3980</v>
      </c>
      <c r="D48" s="474">
        <v>300</v>
      </c>
      <c r="E48" s="473">
        <v>22026211000683</v>
      </c>
      <c r="F48" s="701"/>
      <c r="G48" s="518">
        <v>553</v>
      </c>
      <c r="H48" s="537">
        <v>211</v>
      </c>
    </row>
    <row r="49" spans="1:8" s="475" customFormat="1" ht="15.5" customHeight="1">
      <c r="A49" s="709"/>
      <c r="B49" s="721"/>
      <c r="C49" s="473" t="s">
        <v>3981</v>
      </c>
      <c r="D49" s="474">
        <v>400</v>
      </c>
      <c r="E49" s="473">
        <v>22026211000686</v>
      </c>
      <c r="F49" s="701"/>
      <c r="G49" s="518">
        <v>637</v>
      </c>
      <c r="H49" s="537">
        <v>243</v>
      </c>
    </row>
    <row r="50" spans="1:8" s="475" customFormat="1" ht="15.5" customHeight="1">
      <c r="A50" s="709"/>
      <c r="B50" s="721"/>
      <c r="C50" s="473" t="s">
        <v>3982</v>
      </c>
      <c r="D50" s="474">
        <v>500</v>
      </c>
      <c r="E50" s="473">
        <v>22026211000685</v>
      </c>
      <c r="F50" s="701"/>
      <c r="G50" s="518">
        <v>663</v>
      </c>
      <c r="H50" s="537">
        <v>252</v>
      </c>
    </row>
    <row r="51" spans="1:8" s="475" customFormat="1" ht="15.5" customHeight="1">
      <c r="A51" s="709"/>
      <c r="B51" s="721"/>
      <c r="C51" s="473" t="s">
        <v>3983</v>
      </c>
      <c r="D51" s="474">
        <v>600</v>
      </c>
      <c r="E51" s="473">
        <v>22026211000684</v>
      </c>
      <c r="F51" s="701"/>
      <c r="G51" s="518">
        <v>767</v>
      </c>
      <c r="H51" s="537">
        <v>292</v>
      </c>
    </row>
    <row r="52" spans="1:8" s="475" customFormat="1" ht="15.5" customHeight="1">
      <c r="A52" s="709"/>
      <c r="B52" s="721"/>
      <c r="C52" s="473" t="s">
        <v>3984</v>
      </c>
      <c r="D52" s="474">
        <v>700</v>
      </c>
      <c r="E52" s="473">
        <v>22026211000689</v>
      </c>
      <c r="F52" s="701"/>
      <c r="G52" s="518">
        <v>813</v>
      </c>
      <c r="H52" s="537">
        <v>309</v>
      </c>
    </row>
    <row r="53" spans="1:8" s="475" customFormat="1" ht="15.5" customHeight="1">
      <c r="A53" s="709"/>
      <c r="B53" s="721"/>
      <c r="C53" s="473" t="s">
        <v>3985</v>
      </c>
      <c r="D53" s="474">
        <v>800</v>
      </c>
      <c r="E53" s="473">
        <v>22026211000687</v>
      </c>
      <c r="F53" s="701"/>
      <c r="G53" s="518">
        <v>975</v>
      </c>
      <c r="H53" s="537">
        <v>371</v>
      </c>
    </row>
    <row r="54" spans="1:8" s="475" customFormat="1" ht="15.5" customHeight="1">
      <c r="A54" s="709"/>
      <c r="B54" s="721"/>
      <c r="C54" s="473" t="s">
        <v>3986</v>
      </c>
      <c r="D54" s="474">
        <v>1000</v>
      </c>
      <c r="E54" s="473">
        <v>22026211000681</v>
      </c>
      <c r="F54" s="701"/>
      <c r="G54" s="518">
        <v>1034</v>
      </c>
      <c r="H54" s="537">
        <v>393</v>
      </c>
    </row>
    <row r="55" spans="1:8" s="475" customFormat="1" ht="15.5" customHeight="1">
      <c r="A55" s="709"/>
      <c r="B55" s="721"/>
      <c r="C55" s="473" t="s">
        <v>3987</v>
      </c>
      <c r="D55" s="474">
        <v>1200</v>
      </c>
      <c r="E55" s="473">
        <v>22026211000688</v>
      </c>
      <c r="F55" s="701"/>
      <c r="G55" s="518">
        <v>1118</v>
      </c>
      <c r="H55" s="537">
        <v>425</v>
      </c>
    </row>
    <row r="56" spans="1:8" s="475" customFormat="1" ht="15.5" customHeight="1">
      <c r="A56" s="709"/>
      <c r="B56" s="721"/>
      <c r="C56" s="473" t="s">
        <v>3988</v>
      </c>
      <c r="D56" s="474">
        <v>1400</v>
      </c>
      <c r="E56" s="473">
        <v>22026211000682</v>
      </c>
      <c r="F56" s="701"/>
      <c r="G56" s="518">
        <v>1170</v>
      </c>
      <c r="H56" s="537">
        <v>445</v>
      </c>
    </row>
    <row r="57" spans="1:8" s="475" customFormat="1" ht="15.5" customHeight="1">
      <c r="A57" s="709"/>
      <c r="B57" s="721"/>
      <c r="C57" s="473" t="s">
        <v>3989</v>
      </c>
      <c r="D57" s="474">
        <v>200</v>
      </c>
      <c r="E57" s="473">
        <v>22026211000680</v>
      </c>
      <c r="F57" s="701" t="s">
        <v>3171</v>
      </c>
      <c r="G57" s="518">
        <v>501</v>
      </c>
      <c r="H57" s="537">
        <v>191</v>
      </c>
    </row>
    <row r="58" spans="1:8" s="475" customFormat="1" ht="15.5" customHeight="1">
      <c r="A58" s="709"/>
      <c r="B58" s="721"/>
      <c r="C58" s="473" t="s">
        <v>3990</v>
      </c>
      <c r="D58" s="474">
        <v>300</v>
      </c>
      <c r="E58" s="473">
        <v>22026211000683</v>
      </c>
      <c r="F58" s="701"/>
      <c r="G58" s="518">
        <v>572</v>
      </c>
      <c r="H58" s="537">
        <v>218</v>
      </c>
    </row>
    <row r="59" spans="1:8" s="475" customFormat="1" ht="15.5" customHeight="1">
      <c r="A59" s="709"/>
      <c r="B59" s="721"/>
      <c r="C59" s="473" t="s">
        <v>3991</v>
      </c>
      <c r="D59" s="474">
        <v>400</v>
      </c>
      <c r="E59" s="473">
        <v>22026211000686</v>
      </c>
      <c r="F59" s="701"/>
      <c r="G59" s="518">
        <v>657</v>
      </c>
      <c r="H59" s="537">
        <v>250</v>
      </c>
    </row>
    <row r="60" spans="1:8" s="475" customFormat="1" ht="15.5" customHeight="1">
      <c r="A60" s="709"/>
      <c r="B60" s="721"/>
      <c r="C60" s="473" t="s">
        <v>3992</v>
      </c>
      <c r="D60" s="474">
        <v>500</v>
      </c>
      <c r="E60" s="473">
        <v>22026211000685</v>
      </c>
      <c r="F60" s="701"/>
      <c r="G60" s="518">
        <v>663</v>
      </c>
      <c r="H60" s="537">
        <v>252</v>
      </c>
    </row>
    <row r="61" spans="1:8" s="475" customFormat="1" ht="15.5" customHeight="1">
      <c r="A61" s="709"/>
      <c r="B61" s="721"/>
      <c r="C61" s="473" t="s">
        <v>3993</v>
      </c>
      <c r="D61" s="474">
        <v>600</v>
      </c>
      <c r="E61" s="473">
        <v>22026211000684</v>
      </c>
      <c r="F61" s="701"/>
      <c r="G61" s="518">
        <v>774</v>
      </c>
      <c r="H61" s="537">
        <v>295</v>
      </c>
    </row>
    <row r="62" spans="1:8" s="475" customFormat="1" ht="15.5" customHeight="1">
      <c r="A62" s="709"/>
      <c r="B62" s="721"/>
      <c r="C62" s="473" t="s">
        <v>3994</v>
      </c>
      <c r="D62" s="474">
        <v>700</v>
      </c>
      <c r="E62" s="473">
        <v>22026211000689</v>
      </c>
      <c r="F62" s="701"/>
      <c r="G62" s="518">
        <v>826</v>
      </c>
      <c r="H62" s="537">
        <v>314</v>
      </c>
    </row>
    <row r="63" spans="1:8" s="475" customFormat="1" ht="15.5" customHeight="1">
      <c r="A63" s="709"/>
      <c r="B63" s="721"/>
      <c r="C63" s="473" t="s">
        <v>3995</v>
      </c>
      <c r="D63" s="474">
        <v>800</v>
      </c>
      <c r="E63" s="473">
        <v>22026211000687</v>
      </c>
      <c r="F63" s="701"/>
      <c r="G63" s="518">
        <v>975</v>
      </c>
      <c r="H63" s="537">
        <v>371</v>
      </c>
    </row>
    <row r="64" spans="1:8" s="475" customFormat="1" ht="15.5" customHeight="1">
      <c r="A64" s="709"/>
      <c r="B64" s="721"/>
      <c r="C64" s="473" t="s">
        <v>3996</v>
      </c>
      <c r="D64" s="474">
        <v>1000</v>
      </c>
      <c r="E64" s="473">
        <v>22026211000681</v>
      </c>
      <c r="F64" s="701"/>
      <c r="G64" s="518">
        <v>1047</v>
      </c>
      <c r="H64" s="537">
        <v>398</v>
      </c>
    </row>
    <row r="65" spans="1:9" s="475" customFormat="1" ht="15.5" customHeight="1">
      <c r="A65" s="709"/>
      <c r="B65" s="721"/>
      <c r="C65" s="473" t="s">
        <v>3997</v>
      </c>
      <c r="D65" s="474">
        <v>1200</v>
      </c>
      <c r="E65" s="473">
        <v>22026211000688</v>
      </c>
      <c r="F65" s="701"/>
      <c r="G65" s="518">
        <v>1125</v>
      </c>
      <c r="H65" s="537">
        <v>428</v>
      </c>
    </row>
    <row r="66" spans="1:9" s="475" customFormat="1" ht="15.5" customHeight="1">
      <c r="A66" s="709"/>
      <c r="B66" s="722"/>
      <c r="C66" s="473" t="s">
        <v>3998</v>
      </c>
      <c r="D66" s="474">
        <v>1400</v>
      </c>
      <c r="E66" s="473">
        <v>22026211000682</v>
      </c>
      <c r="F66" s="701"/>
      <c r="G66" s="518">
        <v>1203</v>
      </c>
      <c r="H66" s="537">
        <v>458</v>
      </c>
    </row>
    <row r="67" spans="1:9" s="475" customFormat="1" ht="15.5" customHeight="1">
      <c r="A67" s="709"/>
      <c r="B67" s="720" t="s">
        <v>3172</v>
      </c>
      <c r="C67" s="476" t="s">
        <v>3999</v>
      </c>
      <c r="D67" s="474">
        <v>200</v>
      </c>
      <c r="E67" s="477">
        <v>22026211000661</v>
      </c>
      <c r="F67" s="702" t="s">
        <v>3173</v>
      </c>
      <c r="G67" s="518">
        <v>507</v>
      </c>
      <c r="H67" s="537">
        <v>193</v>
      </c>
      <c r="I67" s="862">
        <f t="shared" ref="I67:I86" si="1">H67+$H$89</f>
        <v>263</v>
      </c>
    </row>
    <row r="68" spans="1:9" s="475" customFormat="1" ht="15.5" customHeight="1">
      <c r="A68" s="709"/>
      <c r="B68" s="721"/>
      <c r="C68" s="476" t="s">
        <v>4000</v>
      </c>
      <c r="D68" s="474">
        <v>300</v>
      </c>
      <c r="E68" s="477">
        <v>22026211000662</v>
      </c>
      <c r="F68" s="703"/>
      <c r="G68" s="518">
        <v>592</v>
      </c>
      <c r="H68" s="537">
        <v>225</v>
      </c>
      <c r="I68" s="862">
        <f t="shared" si="1"/>
        <v>295</v>
      </c>
    </row>
    <row r="69" spans="1:9" s="475" customFormat="1" ht="15.5" customHeight="1">
      <c r="A69" s="709"/>
      <c r="B69" s="721"/>
      <c r="C69" s="476" t="s">
        <v>4001</v>
      </c>
      <c r="D69" s="474">
        <v>400</v>
      </c>
      <c r="E69" s="477">
        <v>22026211000667</v>
      </c>
      <c r="F69" s="703"/>
      <c r="G69" s="518">
        <v>650</v>
      </c>
      <c r="H69" s="537">
        <v>247</v>
      </c>
      <c r="I69" s="862">
        <f t="shared" si="1"/>
        <v>317</v>
      </c>
    </row>
    <row r="70" spans="1:9" s="475" customFormat="1" ht="15.5" customHeight="1">
      <c r="A70" s="709"/>
      <c r="B70" s="721"/>
      <c r="C70" s="476" t="s">
        <v>4002</v>
      </c>
      <c r="D70" s="474">
        <v>500</v>
      </c>
      <c r="E70" s="477">
        <v>22026211000660</v>
      </c>
      <c r="F70" s="703"/>
      <c r="G70" s="518">
        <v>683</v>
      </c>
      <c r="H70" s="537">
        <v>260</v>
      </c>
      <c r="I70" s="862">
        <f t="shared" si="1"/>
        <v>330</v>
      </c>
    </row>
    <row r="71" spans="1:9" s="475" customFormat="1" ht="15.5" customHeight="1">
      <c r="A71" s="709"/>
      <c r="B71" s="721"/>
      <c r="C71" s="476" t="s">
        <v>4003</v>
      </c>
      <c r="D71" s="474">
        <v>600</v>
      </c>
      <c r="E71" s="477">
        <v>22026211000668</v>
      </c>
      <c r="F71" s="703"/>
      <c r="G71" s="518">
        <v>728</v>
      </c>
      <c r="H71" s="537">
        <v>277</v>
      </c>
      <c r="I71" s="862">
        <f t="shared" si="1"/>
        <v>347</v>
      </c>
    </row>
    <row r="72" spans="1:9" s="475" customFormat="1" ht="15.5" customHeight="1">
      <c r="A72" s="709"/>
      <c r="B72" s="721"/>
      <c r="C72" s="476" t="s">
        <v>4004</v>
      </c>
      <c r="D72" s="474">
        <v>700</v>
      </c>
      <c r="E72" s="477">
        <v>22026211000669</v>
      </c>
      <c r="F72" s="703"/>
      <c r="G72" s="518">
        <v>839</v>
      </c>
      <c r="H72" s="537">
        <v>319</v>
      </c>
      <c r="I72" s="862">
        <f t="shared" si="1"/>
        <v>389</v>
      </c>
    </row>
    <row r="73" spans="1:9" s="475" customFormat="1" ht="15.5" customHeight="1">
      <c r="A73" s="709"/>
      <c r="B73" s="721"/>
      <c r="C73" s="476" t="s">
        <v>4005</v>
      </c>
      <c r="D73" s="474">
        <v>800</v>
      </c>
      <c r="E73" s="477">
        <v>22026211000666</v>
      </c>
      <c r="F73" s="703"/>
      <c r="G73" s="518">
        <v>1001</v>
      </c>
      <c r="H73" s="537">
        <v>381</v>
      </c>
      <c r="I73" s="862">
        <f t="shared" si="1"/>
        <v>451</v>
      </c>
    </row>
    <row r="74" spans="1:9" s="475" customFormat="1" ht="15.5" customHeight="1">
      <c r="A74" s="709"/>
      <c r="B74" s="721"/>
      <c r="C74" s="478" t="s">
        <v>4006</v>
      </c>
      <c r="D74" s="474">
        <v>1000</v>
      </c>
      <c r="E74" s="477">
        <v>22026211000663</v>
      </c>
      <c r="F74" s="703"/>
      <c r="G74" s="518">
        <v>1079</v>
      </c>
      <c r="H74" s="537">
        <v>411</v>
      </c>
      <c r="I74" s="862">
        <f t="shared" si="1"/>
        <v>481</v>
      </c>
    </row>
    <row r="75" spans="1:9" s="475" customFormat="1" ht="15.5" customHeight="1">
      <c r="A75" s="709"/>
      <c r="B75" s="721"/>
      <c r="C75" s="478" t="s">
        <v>4007</v>
      </c>
      <c r="D75" s="474">
        <v>1200</v>
      </c>
      <c r="E75" s="477">
        <v>22026211000665</v>
      </c>
      <c r="F75" s="703"/>
      <c r="G75" s="518">
        <v>1222</v>
      </c>
      <c r="H75" s="537">
        <v>465</v>
      </c>
      <c r="I75" s="862">
        <f t="shared" si="1"/>
        <v>535</v>
      </c>
    </row>
    <row r="76" spans="1:9" s="475" customFormat="1" ht="15.5" customHeight="1">
      <c r="A76" s="709"/>
      <c r="B76" s="721"/>
      <c r="C76" s="478" t="s">
        <v>4008</v>
      </c>
      <c r="D76" s="474">
        <v>1400</v>
      </c>
      <c r="E76" s="477">
        <v>22026211000664</v>
      </c>
      <c r="F76" s="704"/>
      <c r="G76" s="518">
        <v>1320</v>
      </c>
      <c r="H76" s="537">
        <v>502</v>
      </c>
      <c r="I76" s="862">
        <f t="shared" si="1"/>
        <v>572</v>
      </c>
    </row>
    <row r="77" spans="1:9" s="475" customFormat="1" ht="15.5" customHeight="1">
      <c r="A77" s="709"/>
      <c r="B77" s="721"/>
      <c r="C77" s="476" t="s">
        <v>4009</v>
      </c>
      <c r="D77" s="474">
        <v>200</v>
      </c>
      <c r="E77" s="477">
        <v>22026211000661</v>
      </c>
      <c r="F77" s="702" t="s">
        <v>3174</v>
      </c>
      <c r="G77" s="518">
        <v>514</v>
      </c>
      <c r="H77" s="537">
        <v>196</v>
      </c>
      <c r="I77" s="862">
        <f t="shared" si="1"/>
        <v>266</v>
      </c>
    </row>
    <row r="78" spans="1:9" s="475" customFormat="1" ht="15.5" customHeight="1">
      <c r="A78" s="709"/>
      <c r="B78" s="721"/>
      <c r="C78" s="476" t="s">
        <v>4010</v>
      </c>
      <c r="D78" s="474">
        <v>300</v>
      </c>
      <c r="E78" s="477">
        <v>22026211000662</v>
      </c>
      <c r="F78" s="703"/>
      <c r="G78" s="518">
        <v>605</v>
      </c>
      <c r="H78" s="537">
        <v>230</v>
      </c>
      <c r="I78" s="862">
        <f t="shared" si="1"/>
        <v>300</v>
      </c>
    </row>
    <row r="79" spans="1:9" s="475" customFormat="1" ht="15.5" customHeight="1">
      <c r="A79" s="709"/>
      <c r="B79" s="721"/>
      <c r="C79" s="476" t="s">
        <v>4011</v>
      </c>
      <c r="D79" s="474">
        <v>400</v>
      </c>
      <c r="E79" s="477">
        <v>22026211000667</v>
      </c>
      <c r="F79" s="703"/>
      <c r="G79" s="518">
        <v>663</v>
      </c>
      <c r="H79" s="537">
        <v>252</v>
      </c>
      <c r="I79" s="862">
        <f t="shared" si="1"/>
        <v>322</v>
      </c>
    </row>
    <row r="80" spans="1:9" s="475" customFormat="1" ht="15.5" customHeight="1">
      <c r="A80" s="709"/>
      <c r="B80" s="721"/>
      <c r="C80" s="476" t="s">
        <v>4012</v>
      </c>
      <c r="D80" s="474">
        <v>500</v>
      </c>
      <c r="E80" s="477">
        <v>22026211000660</v>
      </c>
      <c r="F80" s="703"/>
      <c r="G80" s="518">
        <v>683</v>
      </c>
      <c r="H80" s="537">
        <v>260</v>
      </c>
      <c r="I80" s="862">
        <f t="shared" si="1"/>
        <v>330</v>
      </c>
    </row>
    <row r="81" spans="1:9" s="475" customFormat="1" ht="15.5" customHeight="1">
      <c r="A81" s="709"/>
      <c r="B81" s="721"/>
      <c r="C81" s="476" t="s">
        <v>4013</v>
      </c>
      <c r="D81" s="474">
        <v>600</v>
      </c>
      <c r="E81" s="477">
        <v>22026211000668</v>
      </c>
      <c r="F81" s="703"/>
      <c r="G81" s="518">
        <v>735</v>
      </c>
      <c r="H81" s="537">
        <v>280</v>
      </c>
      <c r="I81" s="862">
        <f t="shared" si="1"/>
        <v>350</v>
      </c>
    </row>
    <row r="82" spans="1:9" s="475" customFormat="1" ht="15.5" customHeight="1">
      <c r="A82" s="709"/>
      <c r="B82" s="721"/>
      <c r="C82" s="476" t="s">
        <v>4014</v>
      </c>
      <c r="D82" s="474">
        <v>700</v>
      </c>
      <c r="E82" s="477">
        <v>22026211000669</v>
      </c>
      <c r="F82" s="703"/>
      <c r="G82" s="518">
        <v>852</v>
      </c>
      <c r="H82" s="537">
        <v>324</v>
      </c>
      <c r="I82" s="862">
        <f t="shared" si="1"/>
        <v>394</v>
      </c>
    </row>
    <row r="83" spans="1:9" s="475" customFormat="1" ht="15.5" customHeight="1">
      <c r="A83" s="709"/>
      <c r="B83" s="721"/>
      <c r="C83" s="476" t="s">
        <v>4015</v>
      </c>
      <c r="D83" s="474">
        <v>800</v>
      </c>
      <c r="E83" s="477">
        <v>22026211000666</v>
      </c>
      <c r="F83" s="703"/>
      <c r="G83" s="518">
        <v>1008</v>
      </c>
      <c r="H83" s="537">
        <v>384</v>
      </c>
      <c r="I83" s="862">
        <f t="shared" si="1"/>
        <v>454</v>
      </c>
    </row>
    <row r="84" spans="1:9" s="475" customFormat="1" ht="15.5" customHeight="1">
      <c r="A84" s="709"/>
      <c r="B84" s="721"/>
      <c r="C84" s="478" t="s">
        <v>4016</v>
      </c>
      <c r="D84" s="474">
        <v>1000</v>
      </c>
      <c r="E84" s="477">
        <v>22026211000663</v>
      </c>
      <c r="F84" s="703"/>
      <c r="G84" s="518">
        <v>1086</v>
      </c>
      <c r="H84" s="537">
        <v>413</v>
      </c>
      <c r="I84" s="862">
        <f t="shared" si="1"/>
        <v>483</v>
      </c>
    </row>
    <row r="85" spans="1:9" s="475" customFormat="1" ht="15.5" customHeight="1">
      <c r="A85" s="709"/>
      <c r="B85" s="721"/>
      <c r="C85" s="478" t="s">
        <v>4017</v>
      </c>
      <c r="D85" s="474">
        <v>1200</v>
      </c>
      <c r="E85" s="477">
        <v>22026211000665</v>
      </c>
      <c r="F85" s="703"/>
      <c r="G85" s="518">
        <v>1229</v>
      </c>
      <c r="H85" s="537">
        <v>468</v>
      </c>
      <c r="I85" s="862">
        <f t="shared" si="1"/>
        <v>538</v>
      </c>
    </row>
    <row r="86" spans="1:9" s="475" customFormat="1" ht="15.5" customHeight="1">
      <c r="A86" s="710"/>
      <c r="B86" s="722"/>
      <c r="C86" s="478" t="s">
        <v>4018</v>
      </c>
      <c r="D86" s="474">
        <v>1400</v>
      </c>
      <c r="E86" s="477">
        <v>22026211000664</v>
      </c>
      <c r="F86" s="704"/>
      <c r="G86" s="518">
        <v>1346</v>
      </c>
      <c r="H86" s="537">
        <v>512</v>
      </c>
      <c r="I86" s="862">
        <f t="shared" si="1"/>
        <v>582</v>
      </c>
    </row>
    <row r="87" spans="1:9" s="475" customFormat="1">
      <c r="A87" s="717" t="s">
        <v>3132</v>
      </c>
      <c r="B87" s="723"/>
      <c r="C87" s="478" t="s">
        <v>3175</v>
      </c>
      <c r="D87" s="474"/>
      <c r="E87" s="477">
        <v>17317100005098</v>
      </c>
      <c r="F87" s="479" t="s">
        <v>3176</v>
      </c>
      <c r="G87" s="518">
        <v>182</v>
      </c>
      <c r="H87" s="537">
        <v>70</v>
      </c>
    </row>
    <row r="88" spans="1:9" s="475" customFormat="1">
      <c r="A88" s="718"/>
      <c r="B88" s="724"/>
      <c r="C88" s="478" t="s">
        <v>3177</v>
      </c>
      <c r="D88" s="474"/>
      <c r="E88" s="477">
        <v>17317100005102</v>
      </c>
      <c r="F88" s="479" t="s">
        <v>3178</v>
      </c>
      <c r="G88" s="518">
        <v>182</v>
      </c>
      <c r="H88" s="537">
        <v>70</v>
      </c>
    </row>
    <row r="89" spans="1:9" s="475" customFormat="1">
      <c r="A89" s="718"/>
      <c r="B89" s="724"/>
      <c r="C89" s="478" t="s">
        <v>2377</v>
      </c>
      <c r="D89" s="474"/>
      <c r="E89" s="477">
        <v>17317100004816</v>
      </c>
      <c r="F89" s="479" t="s">
        <v>3179</v>
      </c>
      <c r="G89" s="518">
        <v>182</v>
      </c>
      <c r="H89" s="537">
        <v>70</v>
      </c>
    </row>
    <row r="90" spans="1:9" s="475" customFormat="1" ht="98">
      <c r="A90" s="718"/>
      <c r="B90" s="724"/>
      <c r="C90" s="478" t="s">
        <v>763</v>
      </c>
      <c r="D90" s="474"/>
      <c r="E90" s="477">
        <v>17317100004855</v>
      </c>
      <c r="F90" s="480" t="s">
        <v>3180</v>
      </c>
      <c r="G90" s="520">
        <v>137</v>
      </c>
      <c r="H90" s="549">
        <v>53</v>
      </c>
    </row>
    <row r="91" spans="1:9" s="475" customFormat="1" ht="168">
      <c r="A91" s="719"/>
      <c r="B91" s="725"/>
      <c r="C91" s="478" t="s">
        <v>3181</v>
      </c>
      <c r="D91" s="474"/>
      <c r="E91" s="477">
        <v>17317100005755</v>
      </c>
      <c r="F91" s="480" t="s">
        <v>3182</v>
      </c>
      <c r="G91" s="520">
        <v>150</v>
      </c>
      <c r="H91" s="549">
        <v>57</v>
      </c>
    </row>
    <row r="92" spans="1:9">
      <c r="A92" s="481"/>
      <c r="B92" s="482"/>
      <c r="C92" s="483"/>
      <c r="D92" s="467"/>
      <c r="E92" s="467"/>
      <c r="F92" s="467"/>
    </row>
  </sheetData>
  <mergeCells count="21">
    <mergeCell ref="A87:A91"/>
    <mergeCell ref="B3:B12"/>
    <mergeCell ref="B13:B22"/>
    <mergeCell ref="B23:B32"/>
    <mergeCell ref="B33:B39"/>
    <mergeCell ref="B40:B46"/>
    <mergeCell ref="B47:B66"/>
    <mergeCell ref="B67:B86"/>
    <mergeCell ref="B87:B91"/>
    <mergeCell ref="F47:F56"/>
    <mergeCell ref="F57:F66"/>
    <mergeCell ref="F67:F76"/>
    <mergeCell ref="F77:F86"/>
    <mergeCell ref="A3:A32"/>
    <mergeCell ref="A33:A46"/>
    <mergeCell ref="A47:A86"/>
    <mergeCell ref="F3:F12"/>
    <mergeCell ref="F13:F22"/>
    <mergeCell ref="F23:F32"/>
    <mergeCell ref="F33:F39"/>
    <mergeCell ref="F40:F46"/>
  </mergeCells>
  <phoneticPr fontId="4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59"/>
  <sheetViews>
    <sheetView zoomScale="150" zoomScaleNormal="115" workbookViewId="0">
      <pane ySplit="2" topLeftCell="A13" activePane="bottomLeft" state="frozen"/>
      <selection pane="bottomLeft" activeCell="J22" sqref="J22:J26"/>
    </sheetView>
  </sheetViews>
  <sheetFormatPr baseColWidth="10" defaultColWidth="9" defaultRowHeight="16"/>
  <cols>
    <col min="1" max="1" width="12.6640625" style="69" customWidth="1"/>
    <col min="2" max="2" width="21.1640625" style="69" customWidth="1"/>
    <col min="3" max="3" width="17.6640625" style="75" customWidth="1"/>
    <col min="4" max="4" width="9.1640625" style="72" customWidth="1"/>
    <col min="5" max="5" width="26.6640625" style="63" customWidth="1"/>
    <col min="6" max="6" width="19.6640625" style="63" customWidth="1"/>
    <col min="7" max="7" width="9" style="503"/>
    <col min="8" max="8" width="1" style="503" customWidth="1"/>
    <col min="9" max="9" width="9" style="503" customWidth="1"/>
    <col min="10" max="10" width="9" style="68" customWidth="1"/>
    <col min="11" max="16384" width="9" style="68"/>
  </cols>
  <sheetData>
    <row r="1" spans="1:9">
      <c r="G1" s="501"/>
      <c r="H1" s="502"/>
      <c r="I1" s="525">
        <v>0.38</v>
      </c>
    </row>
    <row r="2" spans="1:9" ht="38" customHeight="1">
      <c r="A2" s="361" t="s">
        <v>3127</v>
      </c>
      <c r="B2" s="358" t="s">
        <v>3079</v>
      </c>
      <c r="C2" s="362" t="s">
        <v>2237</v>
      </c>
      <c r="D2" s="361" t="s">
        <v>3129</v>
      </c>
      <c r="E2" s="361" t="s">
        <v>2238</v>
      </c>
      <c r="F2" s="361" t="s">
        <v>3131</v>
      </c>
      <c r="G2" s="492" t="s">
        <v>4077</v>
      </c>
      <c r="H2" s="489"/>
      <c r="I2" s="492" t="s">
        <v>4078</v>
      </c>
    </row>
    <row r="3" spans="1:9" ht="15" customHeight="1">
      <c r="A3" s="732" t="s">
        <v>3183</v>
      </c>
      <c r="B3" s="71" t="s">
        <v>3184</v>
      </c>
      <c r="C3" s="74">
        <v>22026214000107</v>
      </c>
      <c r="D3" s="76">
        <v>150</v>
      </c>
      <c r="E3" s="729" t="s">
        <v>3185</v>
      </c>
      <c r="F3" s="726"/>
      <c r="G3" s="499">
        <v>709</v>
      </c>
      <c r="H3" s="500"/>
      <c r="I3" s="526">
        <v>270</v>
      </c>
    </row>
    <row r="4" spans="1:9">
      <c r="A4" s="733"/>
      <c r="B4" s="71" t="s">
        <v>3186</v>
      </c>
      <c r="C4" s="74">
        <v>22026214000109</v>
      </c>
      <c r="D4" s="76">
        <v>250</v>
      </c>
      <c r="E4" s="730"/>
      <c r="F4" s="727"/>
      <c r="G4" s="499">
        <v>761</v>
      </c>
      <c r="H4" s="500"/>
      <c r="I4" s="526">
        <v>290</v>
      </c>
    </row>
    <row r="5" spans="1:9">
      <c r="A5" s="733"/>
      <c r="B5" s="71" t="s">
        <v>3187</v>
      </c>
      <c r="C5" s="74">
        <v>22026214000110</v>
      </c>
      <c r="D5" s="76">
        <v>300</v>
      </c>
      <c r="E5" s="730"/>
      <c r="F5" s="727"/>
      <c r="G5" s="499">
        <v>884</v>
      </c>
      <c r="H5" s="500"/>
      <c r="I5" s="526">
        <v>336</v>
      </c>
    </row>
    <row r="6" spans="1:9">
      <c r="A6" s="733"/>
      <c r="B6" s="71" t="s">
        <v>3188</v>
      </c>
      <c r="C6" s="74">
        <v>22026214000116</v>
      </c>
      <c r="D6" s="76">
        <v>500</v>
      </c>
      <c r="E6" s="730"/>
      <c r="F6" s="727"/>
      <c r="G6" s="499">
        <v>988</v>
      </c>
      <c r="H6" s="500"/>
      <c r="I6" s="526">
        <v>376</v>
      </c>
    </row>
    <row r="7" spans="1:9">
      <c r="A7" s="733"/>
      <c r="B7" s="71" t="s">
        <v>3189</v>
      </c>
      <c r="C7" s="74">
        <v>22026214000115</v>
      </c>
      <c r="D7" s="76">
        <v>700</v>
      </c>
      <c r="E7" s="730"/>
      <c r="F7" s="727"/>
      <c r="G7" s="499">
        <v>1066</v>
      </c>
      <c r="H7" s="500"/>
      <c r="I7" s="526">
        <v>406</v>
      </c>
    </row>
    <row r="8" spans="1:9">
      <c r="A8" s="733"/>
      <c r="B8" s="71" t="s">
        <v>3190</v>
      </c>
      <c r="C8" s="74">
        <v>22026214000117</v>
      </c>
      <c r="D8" s="76">
        <v>800</v>
      </c>
      <c r="E8" s="730"/>
      <c r="F8" s="727"/>
      <c r="G8" s="499">
        <v>1177</v>
      </c>
      <c r="H8" s="500"/>
      <c r="I8" s="526">
        <v>448</v>
      </c>
    </row>
    <row r="9" spans="1:9">
      <c r="A9" s="733"/>
      <c r="B9" s="76" t="s">
        <v>3191</v>
      </c>
      <c r="C9" s="74" t="s">
        <v>1881</v>
      </c>
      <c r="D9" s="76">
        <v>150</v>
      </c>
      <c r="E9" s="730"/>
      <c r="F9" s="727"/>
      <c r="G9" s="499">
        <v>722</v>
      </c>
      <c r="H9" s="500"/>
      <c r="I9" s="526">
        <v>275</v>
      </c>
    </row>
    <row r="10" spans="1:9">
      <c r="A10" s="733"/>
      <c r="B10" s="76" t="s">
        <v>3192</v>
      </c>
      <c r="C10" s="74" t="s">
        <v>1884</v>
      </c>
      <c r="D10" s="76">
        <v>250</v>
      </c>
      <c r="E10" s="730"/>
      <c r="F10" s="727"/>
      <c r="G10" s="499">
        <v>800</v>
      </c>
      <c r="H10" s="500"/>
      <c r="I10" s="526">
        <v>304</v>
      </c>
    </row>
    <row r="11" spans="1:9">
      <c r="A11" s="733"/>
      <c r="B11" s="76" t="s">
        <v>3193</v>
      </c>
      <c r="C11" s="74" t="s">
        <v>1887</v>
      </c>
      <c r="D11" s="76">
        <v>300</v>
      </c>
      <c r="E11" s="730"/>
      <c r="F11" s="727"/>
      <c r="G11" s="499">
        <v>923</v>
      </c>
      <c r="H11" s="500"/>
      <c r="I11" s="526">
        <v>351</v>
      </c>
    </row>
    <row r="12" spans="1:9">
      <c r="A12" s="733"/>
      <c r="B12" s="76" t="s">
        <v>3194</v>
      </c>
      <c r="C12" s="74" t="s">
        <v>1890</v>
      </c>
      <c r="D12" s="76">
        <v>500</v>
      </c>
      <c r="E12" s="730"/>
      <c r="F12" s="727"/>
      <c r="G12" s="499">
        <v>1008</v>
      </c>
      <c r="H12" s="500"/>
      <c r="I12" s="526">
        <v>384</v>
      </c>
    </row>
    <row r="13" spans="1:9">
      <c r="A13" s="733"/>
      <c r="B13" s="76" t="s">
        <v>3195</v>
      </c>
      <c r="C13" s="74" t="s">
        <v>1893</v>
      </c>
      <c r="D13" s="76">
        <v>700</v>
      </c>
      <c r="E13" s="730"/>
      <c r="F13" s="727"/>
      <c r="G13" s="499">
        <v>1131</v>
      </c>
      <c r="H13" s="500"/>
      <c r="I13" s="526">
        <v>430</v>
      </c>
    </row>
    <row r="14" spans="1:9">
      <c r="A14" s="734"/>
      <c r="B14" s="76" t="s">
        <v>3196</v>
      </c>
      <c r="C14" s="74" t="s">
        <v>1896</v>
      </c>
      <c r="D14" s="76">
        <v>800</v>
      </c>
      <c r="E14" s="731"/>
      <c r="F14" s="728"/>
      <c r="G14" s="499">
        <v>1242</v>
      </c>
      <c r="H14" s="500"/>
      <c r="I14" s="526">
        <v>472</v>
      </c>
    </row>
    <row r="15" spans="1:9" ht="15" customHeight="1">
      <c r="A15" s="732" t="s">
        <v>3183</v>
      </c>
      <c r="B15" s="76" t="s">
        <v>1861</v>
      </c>
      <c r="C15" s="77">
        <v>22026214000107</v>
      </c>
      <c r="D15" s="76">
        <v>150</v>
      </c>
      <c r="E15" s="729" t="s">
        <v>3197</v>
      </c>
      <c r="F15" s="726"/>
      <c r="G15" s="499">
        <v>709</v>
      </c>
      <c r="H15" s="500"/>
      <c r="I15" s="526">
        <v>270</v>
      </c>
    </row>
    <row r="16" spans="1:9">
      <c r="A16" s="733"/>
      <c r="B16" s="76" t="s">
        <v>1864</v>
      </c>
      <c r="C16" s="77">
        <v>22026214000109</v>
      </c>
      <c r="D16" s="76">
        <v>250</v>
      </c>
      <c r="E16" s="730"/>
      <c r="F16" s="727"/>
      <c r="G16" s="499">
        <v>761</v>
      </c>
      <c r="H16" s="500"/>
      <c r="I16" s="526">
        <v>290</v>
      </c>
    </row>
    <row r="17" spans="1:12">
      <c r="A17" s="733"/>
      <c r="B17" s="76" t="s">
        <v>2171</v>
      </c>
      <c r="C17" s="77">
        <v>22026214000110</v>
      </c>
      <c r="D17" s="76">
        <v>350</v>
      </c>
      <c r="E17" s="730"/>
      <c r="F17" s="727"/>
      <c r="G17" s="499">
        <v>884</v>
      </c>
      <c r="H17" s="500"/>
      <c r="I17" s="526">
        <v>336</v>
      </c>
    </row>
    <row r="18" spans="1:12">
      <c r="A18" s="733"/>
      <c r="B18" s="76" t="s">
        <v>2172</v>
      </c>
      <c r="C18" s="77">
        <v>22026214000116</v>
      </c>
      <c r="D18" s="76">
        <v>500</v>
      </c>
      <c r="E18" s="730"/>
      <c r="F18" s="727"/>
      <c r="G18" s="499">
        <v>988</v>
      </c>
      <c r="H18" s="500"/>
      <c r="I18" s="526">
        <v>376</v>
      </c>
    </row>
    <row r="19" spans="1:12">
      <c r="A19" s="733"/>
      <c r="B19" s="76" t="s">
        <v>2173</v>
      </c>
      <c r="C19" s="77">
        <v>22026214000115</v>
      </c>
      <c r="D19" s="76">
        <v>700</v>
      </c>
      <c r="E19" s="730"/>
      <c r="F19" s="727"/>
      <c r="G19" s="499">
        <v>1066</v>
      </c>
      <c r="H19" s="500"/>
      <c r="I19" s="526">
        <v>406</v>
      </c>
    </row>
    <row r="20" spans="1:12">
      <c r="A20" s="733"/>
      <c r="B20" s="76" t="s">
        <v>2174</v>
      </c>
      <c r="C20" s="77">
        <v>22026214000117</v>
      </c>
      <c r="D20" s="76">
        <v>800</v>
      </c>
      <c r="E20" s="730"/>
      <c r="F20" s="727"/>
      <c r="G20" s="499">
        <v>1177</v>
      </c>
      <c r="H20" s="500"/>
      <c r="I20" s="526">
        <v>448</v>
      </c>
    </row>
    <row r="21" spans="1:12">
      <c r="A21" s="733"/>
      <c r="B21" s="76" t="s">
        <v>1879</v>
      </c>
      <c r="C21" s="77">
        <v>22026214000108</v>
      </c>
      <c r="D21" s="76">
        <v>150</v>
      </c>
      <c r="E21" s="730"/>
      <c r="F21" s="727"/>
      <c r="G21" s="499">
        <v>722</v>
      </c>
      <c r="H21" s="500"/>
      <c r="I21" s="526">
        <v>275</v>
      </c>
      <c r="J21" s="589">
        <f t="shared" ref="J21:J26" si="0">I21+$I$40+53</f>
        <v>346</v>
      </c>
      <c r="L21" s="589"/>
    </row>
    <row r="22" spans="1:12">
      <c r="A22" s="733"/>
      <c r="B22" s="76" t="s">
        <v>1882</v>
      </c>
      <c r="C22" s="77">
        <v>22026214000111</v>
      </c>
      <c r="D22" s="76">
        <v>250</v>
      </c>
      <c r="E22" s="730"/>
      <c r="F22" s="727"/>
      <c r="G22" s="499">
        <v>800</v>
      </c>
      <c r="H22" s="500"/>
      <c r="I22" s="526">
        <v>304</v>
      </c>
      <c r="J22" s="589">
        <f t="shared" si="0"/>
        <v>375</v>
      </c>
      <c r="L22" s="589"/>
    </row>
    <row r="23" spans="1:12">
      <c r="A23" s="733"/>
      <c r="B23" s="76" t="s">
        <v>2175</v>
      </c>
      <c r="C23" s="77">
        <v>22026214000112</v>
      </c>
      <c r="D23" s="76">
        <v>350</v>
      </c>
      <c r="E23" s="730"/>
      <c r="F23" s="727"/>
      <c r="G23" s="499">
        <v>923</v>
      </c>
      <c r="H23" s="500"/>
      <c r="I23" s="526">
        <v>351</v>
      </c>
      <c r="J23" s="589">
        <f t="shared" si="0"/>
        <v>422</v>
      </c>
      <c r="L23" s="589"/>
    </row>
    <row r="24" spans="1:12">
      <c r="A24" s="733"/>
      <c r="B24" s="76" t="s">
        <v>2176</v>
      </c>
      <c r="C24" s="77">
        <v>22026214000114</v>
      </c>
      <c r="D24" s="76">
        <v>500</v>
      </c>
      <c r="E24" s="730"/>
      <c r="F24" s="727"/>
      <c r="G24" s="499">
        <v>1008</v>
      </c>
      <c r="H24" s="500"/>
      <c r="I24" s="526">
        <v>384</v>
      </c>
      <c r="J24" s="589">
        <f t="shared" si="0"/>
        <v>455</v>
      </c>
      <c r="L24" s="589"/>
    </row>
    <row r="25" spans="1:12">
      <c r="A25" s="733"/>
      <c r="B25" s="76" t="s">
        <v>2177</v>
      </c>
      <c r="C25" s="77">
        <v>22026214000113</v>
      </c>
      <c r="D25" s="76">
        <v>700</v>
      </c>
      <c r="E25" s="730"/>
      <c r="F25" s="727"/>
      <c r="G25" s="499">
        <v>1131</v>
      </c>
      <c r="H25" s="500"/>
      <c r="I25" s="526">
        <v>430</v>
      </c>
      <c r="J25" s="589">
        <f t="shared" si="0"/>
        <v>501</v>
      </c>
      <c r="L25" s="589"/>
    </row>
    <row r="26" spans="1:12">
      <c r="A26" s="733"/>
      <c r="B26" s="76" t="s">
        <v>2178</v>
      </c>
      <c r="C26" s="77">
        <v>22026214000118</v>
      </c>
      <c r="D26" s="76">
        <v>800</v>
      </c>
      <c r="E26" s="731"/>
      <c r="F26" s="728"/>
      <c r="G26" s="499">
        <v>1242</v>
      </c>
      <c r="H26" s="500"/>
      <c r="I26" s="526">
        <v>472</v>
      </c>
      <c r="J26" s="589">
        <f t="shared" si="0"/>
        <v>543</v>
      </c>
      <c r="L26" s="589"/>
    </row>
    <row r="27" spans="1:12">
      <c r="A27" s="734"/>
      <c r="B27" s="76" t="s">
        <v>3882</v>
      </c>
      <c r="C27" s="77">
        <v>12126200000334</v>
      </c>
      <c r="D27" s="76"/>
      <c r="E27" s="70" t="s">
        <v>3198</v>
      </c>
      <c r="F27" s="73"/>
      <c r="G27" s="499">
        <v>46</v>
      </c>
      <c r="H27" s="500"/>
      <c r="I27" s="526">
        <v>18</v>
      </c>
      <c r="L27" s="589"/>
    </row>
    <row r="28" spans="1:12" ht="15" customHeight="1">
      <c r="A28" s="732" t="s">
        <v>3183</v>
      </c>
      <c r="B28" s="76" t="s">
        <v>4019</v>
      </c>
      <c r="C28" s="77">
        <v>22026214000107</v>
      </c>
      <c r="D28" s="76">
        <v>150</v>
      </c>
      <c r="E28" s="714" t="s">
        <v>3199</v>
      </c>
      <c r="F28" s="726"/>
      <c r="G28" s="499">
        <v>806</v>
      </c>
      <c r="H28" s="500"/>
      <c r="I28" s="526">
        <v>307</v>
      </c>
    </row>
    <row r="29" spans="1:12">
      <c r="A29" s="733"/>
      <c r="B29" s="76" t="s">
        <v>4020</v>
      </c>
      <c r="C29" s="77">
        <v>22026214000109</v>
      </c>
      <c r="D29" s="76">
        <v>250</v>
      </c>
      <c r="E29" s="715"/>
      <c r="F29" s="727"/>
      <c r="G29" s="499">
        <v>858</v>
      </c>
      <c r="H29" s="500"/>
      <c r="I29" s="526">
        <v>327</v>
      </c>
    </row>
    <row r="30" spans="1:12">
      <c r="A30" s="733"/>
      <c r="B30" s="76" t="s">
        <v>4021</v>
      </c>
      <c r="C30" s="77">
        <v>22026214000110</v>
      </c>
      <c r="D30" s="76">
        <v>350</v>
      </c>
      <c r="E30" s="715"/>
      <c r="F30" s="727"/>
      <c r="G30" s="499">
        <v>982</v>
      </c>
      <c r="H30" s="500"/>
      <c r="I30" s="526">
        <v>374</v>
      </c>
    </row>
    <row r="31" spans="1:12">
      <c r="A31" s="733"/>
      <c r="B31" s="71" t="s">
        <v>4022</v>
      </c>
      <c r="C31" s="77">
        <v>22026214000116</v>
      </c>
      <c r="D31" s="76">
        <v>500</v>
      </c>
      <c r="E31" s="715"/>
      <c r="F31" s="727"/>
      <c r="G31" s="499">
        <v>1086</v>
      </c>
      <c r="H31" s="500"/>
      <c r="I31" s="526">
        <v>413</v>
      </c>
    </row>
    <row r="32" spans="1:12">
      <c r="A32" s="733"/>
      <c r="B32" s="71" t="s">
        <v>4024</v>
      </c>
      <c r="C32" s="77">
        <v>22026214000115</v>
      </c>
      <c r="D32" s="76">
        <v>700</v>
      </c>
      <c r="E32" s="715"/>
      <c r="F32" s="727"/>
      <c r="G32" s="499">
        <v>1164</v>
      </c>
      <c r="H32" s="500"/>
      <c r="I32" s="526">
        <v>443</v>
      </c>
    </row>
    <row r="33" spans="1:10">
      <c r="A33" s="733"/>
      <c r="B33" s="71" t="s">
        <v>4023</v>
      </c>
      <c r="C33" s="77">
        <v>22026214000117</v>
      </c>
      <c r="D33" s="76">
        <v>800</v>
      </c>
      <c r="E33" s="715"/>
      <c r="F33" s="727"/>
      <c r="G33" s="499">
        <v>1274</v>
      </c>
      <c r="H33" s="500"/>
      <c r="I33" s="526">
        <v>485</v>
      </c>
    </row>
    <row r="34" spans="1:10">
      <c r="A34" s="733"/>
      <c r="B34" s="76" t="s">
        <v>4025</v>
      </c>
      <c r="C34" s="77">
        <v>22026214000108</v>
      </c>
      <c r="D34" s="76">
        <v>150</v>
      </c>
      <c r="E34" s="715"/>
      <c r="F34" s="727"/>
      <c r="G34" s="499">
        <v>813</v>
      </c>
      <c r="H34" s="500"/>
      <c r="I34" s="526">
        <v>309</v>
      </c>
      <c r="J34" s="589">
        <f>I34+$I$40+53</f>
        <v>380</v>
      </c>
    </row>
    <row r="35" spans="1:10">
      <c r="A35" s="733"/>
      <c r="B35" s="76" t="s">
        <v>4026</v>
      </c>
      <c r="C35" s="77">
        <v>22026214000111</v>
      </c>
      <c r="D35" s="76">
        <v>250</v>
      </c>
      <c r="E35" s="715"/>
      <c r="F35" s="727"/>
      <c r="G35" s="499">
        <v>891</v>
      </c>
      <c r="H35" s="500"/>
      <c r="I35" s="526">
        <v>339</v>
      </c>
      <c r="J35" s="589">
        <f t="shared" ref="J35:J39" si="1">I35+$I$40+53</f>
        <v>410</v>
      </c>
    </row>
    <row r="36" spans="1:10">
      <c r="A36" s="733"/>
      <c r="B36" s="71" t="s">
        <v>4027</v>
      </c>
      <c r="C36" s="77">
        <v>22026214000112</v>
      </c>
      <c r="D36" s="76">
        <v>350</v>
      </c>
      <c r="E36" s="715"/>
      <c r="F36" s="727"/>
      <c r="G36" s="499">
        <v>1021</v>
      </c>
      <c r="H36" s="500"/>
      <c r="I36" s="526">
        <v>388</v>
      </c>
      <c r="J36" s="589">
        <f t="shared" si="1"/>
        <v>459</v>
      </c>
    </row>
    <row r="37" spans="1:10">
      <c r="A37" s="733"/>
      <c r="B37" s="71" t="s">
        <v>4028</v>
      </c>
      <c r="C37" s="77">
        <v>22026214000114</v>
      </c>
      <c r="D37" s="76">
        <v>500</v>
      </c>
      <c r="E37" s="715"/>
      <c r="F37" s="727"/>
      <c r="G37" s="499">
        <v>1099</v>
      </c>
      <c r="H37" s="500"/>
      <c r="I37" s="526">
        <v>418</v>
      </c>
      <c r="J37" s="589">
        <f t="shared" si="1"/>
        <v>489</v>
      </c>
    </row>
    <row r="38" spans="1:10">
      <c r="A38" s="733"/>
      <c r="B38" s="71" t="s">
        <v>4029</v>
      </c>
      <c r="C38" s="77">
        <v>22026214000113</v>
      </c>
      <c r="D38" s="76">
        <v>700</v>
      </c>
      <c r="E38" s="715"/>
      <c r="F38" s="727"/>
      <c r="G38" s="499">
        <v>1229</v>
      </c>
      <c r="H38" s="500"/>
      <c r="I38" s="526">
        <v>468</v>
      </c>
      <c r="J38" s="589">
        <f t="shared" si="1"/>
        <v>539</v>
      </c>
    </row>
    <row r="39" spans="1:10">
      <c r="A39" s="733"/>
      <c r="B39" s="71" t="s">
        <v>4030</v>
      </c>
      <c r="C39" s="77">
        <v>22026214000118</v>
      </c>
      <c r="D39" s="76">
        <v>800</v>
      </c>
      <c r="E39" s="716"/>
      <c r="F39" s="728"/>
      <c r="G39" s="499">
        <v>1339</v>
      </c>
      <c r="H39" s="500"/>
      <c r="I39" s="526">
        <v>509</v>
      </c>
      <c r="J39" s="589">
        <f t="shared" si="1"/>
        <v>580</v>
      </c>
    </row>
    <row r="40" spans="1:10">
      <c r="A40" s="734"/>
      <c r="B40" s="77">
        <v>12126200000334</v>
      </c>
      <c r="C40" s="77">
        <v>12126200000334</v>
      </c>
      <c r="D40" s="76"/>
      <c r="E40" s="70" t="s">
        <v>3198</v>
      </c>
      <c r="F40" s="73"/>
      <c r="G40" s="499">
        <v>46</v>
      </c>
      <c r="H40" s="500"/>
      <c r="I40" s="526">
        <v>18</v>
      </c>
    </row>
    <row r="41" spans="1:10" ht="15" customHeight="1">
      <c r="A41" s="732" t="s">
        <v>3183</v>
      </c>
      <c r="B41" s="76" t="s">
        <v>1898</v>
      </c>
      <c r="C41" s="77">
        <v>22026214000107</v>
      </c>
      <c r="D41" s="76">
        <v>150</v>
      </c>
      <c r="E41" s="729" t="s">
        <v>3200</v>
      </c>
      <c r="F41" s="726"/>
      <c r="G41" s="499">
        <v>676</v>
      </c>
      <c r="H41" s="500"/>
      <c r="I41" s="526">
        <v>257</v>
      </c>
    </row>
    <row r="42" spans="1:10">
      <c r="A42" s="733"/>
      <c r="B42" s="76" t="s">
        <v>1900</v>
      </c>
      <c r="C42" s="77">
        <v>22026214000109</v>
      </c>
      <c r="D42" s="76">
        <v>250</v>
      </c>
      <c r="E42" s="730"/>
      <c r="F42" s="727"/>
      <c r="G42" s="499">
        <v>722</v>
      </c>
      <c r="H42" s="500"/>
      <c r="I42" s="526">
        <v>275</v>
      </c>
    </row>
    <row r="43" spans="1:10">
      <c r="A43" s="733"/>
      <c r="B43" s="76" t="s">
        <v>2181</v>
      </c>
      <c r="C43" s="77">
        <v>22026214000110</v>
      </c>
      <c r="D43" s="76">
        <v>350</v>
      </c>
      <c r="E43" s="730"/>
      <c r="F43" s="727"/>
      <c r="G43" s="499">
        <v>852</v>
      </c>
      <c r="H43" s="500"/>
      <c r="I43" s="526">
        <v>324</v>
      </c>
    </row>
    <row r="44" spans="1:10">
      <c r="A44" s="733"/>
      <c r="B44" s="76" t="s">
        <v>2183</v>
      </c>
      <c r="C44" s="77">
        <v>22026214000116</v>
      </c>
      <c r="D44" s="76">
        <v>500</v>
      </c>
      <c r="E44" s="730"/>
      <c r="F44" s="727"/>
      <c r="G44" s="499">
        <v>943</v>
      </c>
      <c r="H44" s="500"/>
      <c r="I44" s="526">
        <v>359</v>
      </c>
    </row>
    <row r="45" spans="1:10">
      <c r="A45" s="733"/>
      <c r="B45" s="76" t="s">
        <v>2185</v>
      </c>
      <c r="C45" s="77">
        <v>22026214000115</v>
      </c>
      <c r="D45" s="76">
        <v>700</v>
      </c>
      <c r="E45" s="730"/>
      <c r="F45" s="727"/>
      <c r="G45" s="499">
        <v>1021</v>
      </c>
      <c r="H45" s="500"/>
      <c r="I45" s="526">
        <v>388</v>
      </c>
    </row>
    <row r="46" spans="1:10">
      <c r="A46" s="733"/>
      <c r="B46" s="76" t="s">
        <v>2187</v>
      </c>
      <c r="C46" s="77">
        <v>22026214000117</v>
      </c>
      <c r="D46" s="76">
        <v>800</v>
      </c>
      <c r="E46" s="730"/>
      <c r="F46" s="727"/>
      <c r="G46" s="499">
        <v>1131</v>
      </c>
      <c r="H46" s="500"/>
      <c r="I46" s="526">
        <v>430</v>
      </c>
    </row>
    <row r="47" spans="1:10">
      <c r="A47" s="733"/>
      <c r="B47" s="76" t="s">
        <v>1910</v>
      </c>
      <c r="C47" s="77">
        <v>22026214000108</v>
      </c>
      <c r="D47" s="76">
        <v>150</v>
      </c>
      <c r="E47" s="730"/>
      <c r="F47" s="727"/>
      <c r="G47" s="499">
        <v>689</v>
      </c>
      <c r="H47" s="500"/>
      <c r="I47" s="526">
        <v>262</v>
      </c>
    </row>
    <row r="48" spans="1:10">
      <c r="A48" s="733"/>
      <c r="B48" s="76" t="s">
        <v>1912</v>
      </c>
      <c r="C48" s="77">
        <v>22026214000111</v>
      </c>
      <c r="D48" s="76">
        <v>250</v>
      </c>
      <c r="E48" s="730"/>
      <c r="F48" s="727"/>
      <c r="G48" s="499">
        <v>761</v>
      </c>
      <c r="H48" s="500"/>
      <c r="I48" s="526">
        <v>290</v>
      </c>
    </row>
    <row r="49" spans="1:11">
      <c r="A49" s="733"/>
      <c r="B49" s="76" t="s">
        <v>2191</v>
      </c>
      <c r="C49" s="77">
        <v>22026214000112</v>
      </c>
      <c r="D49" s="76">
        <v>350</v>
      </c>
      <c r="E49" s="730"/>
      <c r="F49" s="727"/>
      <c r="G49" s="499">
        <v>884</v>
      </c>
      <c r="H49" s="500"/>
      <c r="I49" s="526">
        <v>336</v>
      </c>
    </row>
    <row r="50" spans="1:11">
      <c r="A50" s="733"/>
      <c r="B50" s="76" t="s">
        <v>2193</v>
      </c>
      <c r="C50" s="77">
        <v>22026214000114</v>
      </c>
      <c r="D50" s="76">
        <v>500</v>
      </c>
      <c r="E50" s="730"/>
      <c r="F50" s="727"/>
      <c r="G50" s="499">
        <v>969</v>
      </c>
      <c r="H50" s="500"/>
      <c r="I50" s="526">
        <v>369</v>
      </c>
    </row>
    <row r="51" spans="1:11">
      <c r="A51" s="733"/>
      <c r="B51" s="76" t="s">
        <v>2195</v>
      </c>
      <c r="C51" s="77">
        <v>22026214000113</v>
      </c>
      <c r="D51" s="76">
        <v>700</v>
      </c>
      <c r="E51" s="730"/>
      <c r="F51" s="727"/>
      <c r="G51" s="499">
        <v>1073</v>
      </c>
      <c r="H51" s="500"/>
      <c r="I51" s="526">
        <v>408</v>
      </c>
    </row>
    <row r="52" spans="1:11">
      <c r="A52" s="734"/>
      <c r="B52" s="76" t="s">
        <v>2197</v>
      </c>
      <c r="C52" s="77">
        <v>22026214000118</v>
      </c>
      <c r="D52" s="76">
        <v>800</v>
      </c>
      <c r="E52" s="731"/>
      <c r="F52" s="728"/>
      <c r="G52" s="499">
        <v>1196</v>
      </c>
      <c r="H52" s="500"/>
      <c r="I52" s="526">
        <v>455</v>
      </c>
    </row>
    <row r="53" spans="1:11" s="360" customFormat="1" ht="39" customHeight="1">
      <c r="A53" s="735" t="s">
        <v>3203</v>
      </c>
      <c r="B53" s="359">
        <v>12123000001687</v>
      </c>
      <c r="C53" s="359">
        <v>12123000001687</v>
      </c>
      <c r="D53" s="78"/>
      <c r="E53" s="396" t="s">
        <v>3204</v>
      </c>
      <c r="F53" s="396"/>
      <c r="G53" s="499">
        <v>78</v>
      </c>
      <c r="H53" s="500"/>
      <c r="I53" s="526">
        <v>30</v>
      </c>
      <c r="J53" s="68"/>
      <c r="K53" s="68"/>
    </row>
    <row r="54" spans="1:11" s="360" customFormat="1" ht="39" customHeight="1">
      <c r="A54" s="735"/>
      <c r="B54" s="359">
        <v>12123000001685</v>
      </c>
      <c r="C54" s="359">
        <v>12123000001685</v>
      </c>
      <c r="D54" s="78"/>
      <c r="E54" s="396" t="s">
        <v>3205</v>
      </c>
      <c r="F54" s="396"/>
      <c r="G54" s="499">
        <v>1144</v>
      </c>
      <c r="H54" s="500"/>
      <c r="I54" s="526">
        <v>435</v>
      </c>
      <c r="J54" s="68"/>
      <c r="K54" s="68"/>
    </row>
    <row r="55" spans="1:11" ht="15.75" customHeight="1">
      <c r="A55" s="68"/>
      <c r="B55" s="48"/>
      <c r="C55" s="79"/>
      <c r="D55" s="68"/>
      <c r="E55" s="68"/>
      <c r="F55" s="68"/>
    </row>
    <row r="56" spans="1:11" ht="15.75" customHeight="1">
      <c r="A56" s="68"/>
      <c r="B56" s="49"/>
      <c r="C56" s="79"/>
      <c r="D56" s="68"/>
      <c r="E56" s="68"/>
      <c r="F56" s="68"/>
    </row>
    <row r="57" spans="1:11" ht="15.75" customHeight="1">
      <c r="A57" s="68"/>
      <c r="B57" s="49"/>
      <c r="C57" s="79"/>
      <c r="D57" s="68"/>
      <c r="E57" s="68"/>
      <c r="F57" s="68"/>
    </row>
    <row r="58" spans="1:11" ht="29" customHeight="1">
      <c r="A58" s="68"/>
      <c r="B58" s="49"/>
      <c r="C58" s="79"/>
      <c r="D58" s="68"/>
      <c r="E58" s="68"/>
      <c r="F58" s="68"/>
    </row>
    <row r="59" spans="1:11" ht="29" customHeight="1">
      <c r="A59" s="68"/>
      <c r="B59" s="49"/>
      <c r="C59" s="79"/>
      <c r="D59" s="68"/>
      <c r="E59" s="68"/>
      <c r="F59" s="68"/>
    </row>
  </sheetData>
  <mergeCells count="13">
    <mergeCell ref="A3:A14"/>
    <mergeCell ref="A15:A27"/>
    <mergeCell ref="A28:A40"/>
    <mergeCell ref="A41:A52"/>
    <mergeCell ref="A53:A54"/>
    <mergeCell ref="F3:F14"/>
    <mergeCell ref="F15:F26"/>
    <mergeCell ref="F28:F39"/>
    <mergeCell ref="F41:F52"/>
    <mergeCell ref="E3:E14"/>
    <mergeCell ref="E15:E26"/>
    <mergeCell ref="E28:E39"/>
    <mergeCell ref="E41:E52"/>
  </mergeCells>
  <phoneticPr fontId="46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60"/>
  <sheetViews>
    <sheetView showGridLines="0" zoomScale="143" zoomScaleNormal="115" workbookViewId="0">
      <pane xSplit="2" ySplit="2" topLeftCell="C3" activePane="bottomRight" state="frozen"/>
      <selection pane="topRight"/>
      <selection pane="bottomLeft"/>
      <selection pane="bottomRight" activeCell="L30" sqref="L30"/>
    </sheetView>
  </sheetViews>
  <sheetFormatPr baseColWidth="10" defaultColWidth="9" defaultRowHeight="14"/>
  <cols>
    <col min="1" max="1" width="9.1640625" style="243" customWidth="1"/>
    <col min="2" max="2" width="12.6640625" style="243" customWidth="1"/>
    <col min="3" max="3" width="15.6640625" style="243" customWidth="1"/>
    <col min="4" max="4" width="18.6640625" style="243" customWidth="1"/>
    <col min="5" max="5" width="9.1640625" style="257" customWidth="1"/>
    <col min="6" max="6" width="45.6640625" style="243" customWidth="1"/>
    <col min="7" max="7" width="9" style="247"/>
    <col min="8" max="8" width="0.83203125" style="247" customWidth="1"/>
    <col min="9" max="10" width="9" style="247" customWidth="1"/>
    <col min="11" max="16384" width="9" style="247"/>
  </cols>
  <sheetData>
    <row r="1" spans="1:10" ht="14" customHeight="1">
      <c r="A1" s="739" t="s">
        <v>3127</v>
      </c>
      <c r="B1" s="749" t="s">
        <v>3128</v>
      </c>
      <c r="C1" s="747" t="s">
        <v>3883</v>
      </c>
      <c r="D1" s="365"/>
      <c r="E1" s="747" t="s">
        <v>3129</v>
      </c>
      <c r="F1" s="739" t="s">
        <v>2238</v>
      </c>
      <c r="G1" s="501"/>
      <c r="H1" s="502"/>
      <c r="I1" s="525">
        <v>0.38</v>
      </c>
    </row>
    <row r="2" spans="1:10" ht="40.5" customHeight="1">
      <c r="A2" s="740"/>
      <c r="B2" s="750"/>
      <c r="C2" s="748"/>
      <c r="D2" s="366" t="s">
        <v>3206</v>
      </c>
      <c r="E2" s="748"/>
      <c r="F2" s="740"/>
      <c r="G2" s="492" t="s">
        <v>4077</v>
      </c>
      <c r="H2" s="489"/>
      <c r="I2" s="492" t="s">
        <v>4078</v>
      </c>
    </row>
    <row r="3" spans="1:10" ht="22" customHeight="1">
      <c r="A3" s="744" t="s">
        <v>3638</v>
      </c>
      <c r="B3" s="751" t="s">
        <v>3207</v>
      </c>
      <c r="C3" s="259" t="s">
        <v>1642</v>
      </c>
      <c r="D3" s="259" t="s">
        <v>1644</v>
      </c>
      <c r="E3" s="260" t="s">
        <v>3201</v>
      </c>
      <c r="F3" s="741" t="s">
        <v>3208</v>
      </c>
      <c r="G3" s="499">
        <v>1027</v>
      </c>
      <c r="H3" s="500"/>
      <c r="I3" s="526">
        <v>391</v>
      </c>
      <c r="J3" s="592">
        <f>+I3+$I$7+$I$9</f>
        <v>466</v>
      </c>
    </row>
    <row r="4" spans="1:10" ht="22" customHeight="1">
      <c r="A4" s="745"/>
      <c r="B4" s="752"/>
      <c r="C4" s="259" t="s">
        <v>1645</v>
      </c>
      <c r="D4" s="259" t="s">
        <v>1647</v>
      </c>
      <c r="E4" s="260" t="s">
        <v>3202</v>
      </c>
      <c r="F4" s="742"/>
      <c r="G4" s="499">
        <v>1112</v>
      </c>
      <c r="H4" s="500"/>
      <c r="I4" s="526">
        <v>423</v>
      </c>
      <c r="J4" s="592">
        <f t="shared" ref="J4:J6" si="0">+I4+$I$7+$I$9</f>
        <v>498</v>
      </c>
    </row>
    <row r="5" spans="1:10" s="261" customFormat="1" ht="22" customHeight="1">
      <c r="A5" s="745"/>
      <c r="B5" s="752"/>
      <c r="C5" s="259" t="s">
        <v>1648</v>
      </c>
      <c r="D5" s="259" t="s">
        <v>1647</v>
      </c>
      <c r="E5" s="260" t="s">
        <v>3209</v>
      </c>
      <c r="F5" s="742"/>
      <c r="G5" s="499">
        <v>1112</v>
      </c>
      <c r="H5" s="500"/>
      <c r="I5" s="526">
        <v>423</v>
      </c>
      <c r="J5" s="592">
        <f t="shared" si="0"/>
        <v>498</v>
      </c>
    </row>
    <row r="6" spans="1:10" ht="22" customHeight="1">
      <c r="A6" s="745"/>
      <c r="B6" s="752"/>
      <c r="C6" s="259" t="s">
        <v>1650</v>
      </c>
      <c r="D6" s="259" t="s">
        <v>1652</v>
      </c>
      <c r="E6" s="260" t="s">
        <v>3210</v>
      </c>
      <c r="F6" s="743"/>
      <c r="G6" s="499">
        <v>1209</v>
      </c>
      <c r="H6" s="500"/>
      <c r="I6" s="526">
        <v>460</v>
      </c>
      <c r="J6" s="592">
        <f t="shared" si="0"/>
        <v>535</v>
      </c>
    </row>
    <row r="7" spans="1:10" ht="15">
      <c r="A7" s="745"/>
      <c r="B7" s="752"/>
      <c r="C7" s="249" t="s">
        <v>1653</v>
      </c>
      <c r="D7" s="259" t="s">
        <v>558</v>
      </c>
      <c r="E7" s="253"/>
      <c r="F7" s="371" t="s">
        <v>3211</v>
      </c>
      <c r="G7" s="499">
        <v>143</v>
      </c>
      <c r="H7" s="500"/>
      <c r="I7" s="526">
        <v>55</v>
      </c>
    </row>
    <row r="8" spans="1:10" ht="15">
      <c r="A8" s="745"/>
      <c r="B8" s="752"/>
      <c r="C8" s="263">
        <v>12126200000215</v>
      </c>
      <c r="D8" s="259"/>
      <c r="E8" s="244"/>
      <c r="F8" s="372" t="s">
        <v>3212</v>
      </c>
      <c r="G8" s="499">
        <v>26</v>
      </c>
      <c r="H8" s="500"/>
      <c r="I8" s="526">
        <v>10</v>
      </c>
    </row>
    <row r="9" spans="1:10" ht="15">
      <c r="A9" s="745"/>
      <c r="B9" s="753"/>
      <c r="C9" s="263">
        <v>12126200000216</v>
      </c>
      <c r="D9" s="259"/>
      <c r="E9" s="244"/>
      <c r="F9" s="487" t="s">
        <v>3213</v>
      </c>
      <c r="G9" s="499">
        <v>52</v>
      </c>
      <c r="H9" s="500"/>
      <c r="I9" s="526">
        <v>20</v>
      </c>
    </row>
    <row r="10" spans="1:10" ht="18" customHeight="1">
      <c r="A10" s="745"/>
      <c r="B10" s="751" t="s">
        <v>3214</v>
      </c>
      <c r="C10" s="259" t="s">
        <v>1656</v>
      </c>
      <c r="D10" s="259" t="s">
        <v>1658</v>
      </c>
      <c r="E10" s="260" t="s">
        <v>3215</v>
      </c>
      <c r="F10" s="741" t="s">
        <v>3216</v>
      </c>
      <c r="G10" s="499">
        <v>1177</v>
      </c>
      <c r="H10" s="500"/>
      <c r="I10" s="526">
        <v>448</v>
      </c>
      <c r="J10" s="592">
        <f>I10+$I$16</f>
        <v>557</v>
      </c>
    </row>
    <row r="11" spans="1:10" ht="18" customHeight="1">
      <c r="A11" s="745"/>
      <c r="B11" s="752"/>
      <c r="C11" s="259" t="s">
        <v>1659</v>
      </c>
      <c r="D11" s="259" t="s">
        <v>1661</v>
      </c>
      <c r="E11" s="260" t="s">
        <v>3217</v>
      </c>
      <c r="F11" s="742"/>
      <c r="G11" s="499">
        <v>1216</v>
      </c>
      <c r="H11" s="500"/>
      <c r="I11" s="526">
        <v>463</v>
      </c>
      <c r="J11" s="592">
        <f t="shared" ref="J11:J15" si="1">I11+$I$16</f>
        <v>572</v>
      </c>
    </row>
    <row r="12" spans="1:10" ht="18" customHeight="1">
      <c r="A12" s="745"/>
      <c r="B12" s="752"/>
      <c r="C12" s="259" t="s">
        <v>1662</v>
      </c>
      <c r="D12" s="259" t="s">
        <v>1664</v>
      </c>
      <c r="E12" s="260" t="s">
        <v>3218</v>
      </c>
      <c r="F12" s="742"/>
      <c r="G12" s="499">
        <v>1463</v>
      </c>
      <c r="H12" s="500"/>
      <c r="I12" s="526">
        <v>556</v>
      </c>
      <c r="J12" s="592">
        <f t="shared" si="1"/>
        <v>665</v>
      </c>
    </row>
    <row r="13" spans="1:10" ht="18" customHeight="1">
      <c r="A13" s="745"/>
      <c r="B13" s="752"/>
      <c r="C13" s="259" t="s">
        <v>1665</v>
      </c>
      <c r="D13" s="259" t="s">
        <v>1667</v>
      </c>
      <c r="E13" s="260" t="s">
        <v>3219</v>
      </c>
      <c r="F13" s="742"/>
      <c r="G13" s="499">
        <v>1508</v>
      </c>
      <c r="H13" s="500"/>
      <c r="I13" s="526">
        <v>574</v>
      </c>
      <c r="J13" s="592">
        <f t="shared" si="1"/>
        <v>683</v>
      </c>
    </row>
    <row r="14" spans="1:10" ht="18" customHeight="1">
      <c r="A14" s="745"/>
      <c r="B14" s="752"/>
      <c r="C14" s="259" t="s">
        <v>1668</v>
      </c>
      <c r="D14" s="259" t="s">
        <v>1670</v>
      </c>
      <c r="E14" s="260">
        <v>1200</v>
      </c>
      <c r="F14" s="742"/>
      <c r="G14" s="499">
        <v>1560</v>
      </c>
      <c r="H14" s="500"/>
      <c r="I14" s="526">
        <v>593</v>
      </c>
      <c r="J14" s="592">
        <f t="shared" si="1"/>
        <v>702</v>
      </c>
    </row>
    <row r="15" spans="1:10" ht="18" customHeight="1">
      <c r="A15" s="745"/>
      <c r="B15" s="752"/>
      <c r="C15" s="259" t="s">
        <v>1671</v>
      </c>
      <c r="D15" s="259" t="s">
        <v>1670</v>
      </c>
      <c r="E15" s="260">
        <v>1400</v>
      </c>
      <c r="F15" s="743"/>
      <c r="G15" s="499">
        <v>1560</v>
      </c>
      <c r="H15" s="500"/>
      <c r="I15" s="526">
        <v>593</v>
      </c>
      <c r="J15" s="592">
        <f t="shared" si="1"/>
        <v>702</v>
      </c>
    </row>
    <row r="16" spans="1:10" ht="15">
      <c r="A16" s="745"/>
      <c r="B16" s="753"/>
      <c r="C16" s="264" t="s">
        <v>1673</v>
      </c>
      <c r="D16" s="259" t="s">
        <v>1675</v>
      </c>
      <c r="E16" s="253"/>
      <c r="F16" s="371" t="s">
        <v>3220</v>
      </c>
      <c r="G16" s="499">
        <v>286</v>
      </c>
      <c r="H16" s="500"/>
      <c r="I16" s="526">
        <v>109</v>
      </c>
    </row>
    <row r="17" spans="1:10" ht="15">
      <c r="A17" s="745"/>
      <c r="B17" s="744" t="s">
        <v>3221</v>
      </c>
      <c r="C17" s="245" t="s">
        <v>1676</v>
      </c>
      <c r="D17" s="259"/>
      <c r="E17" s="265">
        <v>300</v>
      </c>
      <c r="F17" s="754" t="s">
        <v>3222</v>
      </c>
      <c r="G17" s="499">
        <v>1060</v>
      </c>
      <c r="H17" s="500"/>
      <c r="I17" s="526">
        <v>403</v>
      </c>
    </row>
    <row r="18" spans="1:10" ht="15">
      <c r="A18" s="745"/>
      <c r="B18" s="745"/>
      <c r="C18" s="245" t="s">
        <v>1679</v>
      </c>
      <c r="D18" s="259"/>
      <c r="E18" s="265">
        <v>400</v>
      </c>
      <c r="F18" s="755"/>
      <c r="G18" s="499">
        <v>1092</v>
      </c>
      <c r="H18" s="500"/>
      <c r="I18" s="526">
        <v>415</v>
      </c>
    </row>
    <row r="19" spans="1:10" ht="15">
      <c r="A19" s="746"/>
      <c r="B19" s="745"/>
      <c r="C19" s="245" t="s">
        <v>1681</v>
      </c>
      <c r="D19" s="259"/>
      <c r="E19" s="265">
        <v>600</v>
      </c>
      <c r="F19" s="756"/>
      <c r="G19" s="499">
        <v>1404</v>
      </c>
      <c r="H19" s="500"/>
      <c r="I19" s="526">
        <v>534</v>
      </c>
    </row>
    <row r="20" spans="1:10" ht="15">
      <c r="A20" s="266"/>
      <c r="B20" s="745"/>
      <c r="C20" s="264" t="s">
        <v>922</v>
      </c>
      <c r="D20" s="259" t="s">
        <v>924</v>
      </c>
      <c r="E20" s="253"/>
      <c r="F20" s="371" t="s">
        <v>3223</v>
      </c>
      <c r="G20" s="499">
        <v>221</v>
      </c>
      <c r="H20" s="500"/>
      <c r="I20" s="526">
        <v>84</v>
      </c>
    </row>
    <row r="21" spans="1:10" ht="15">
      <c r="A21" s="266"/>
      <c r="B21" s="746"/>
      <c r="C21" s="264" t="s">
        <v>1712</v>
      </c>
      <c r="D21" s="259" t="s">
        <v>921</v>
      </c>
      <c r="E21" s="253"/>
      <c r="F21" s="371" t="s">
        <v>3224</v>
      </c>
      <c r="G21" s="499">
        <v>384</v>
      </c>
      <c r="H21" s="500"/>
      <c r="I21" s="526">
        <v>146</v>
      </c>
    </row>
    <row r="22" spans="1:10" ht="15">
      <c r="A22" s="744" t="s">
        <v>3638</v>
      </c>
      <c r="B22" s="751" t="s">
        <v>3225</v>
      </c>
      <c r="C22" s="259" t="s">
        <v>1683</v>
      </c>
      <c r="D22" s="259" t="s">
        <v>1685</v>
      </c>
      <c r="E22" s="260" t="s">
        <v>3201</v>
      </c>
      <c r="F22" s="736" t="s">
        <v>3226</v>
      </c>
      <c r="G22" s="499">
        <v>1170</v>
      </c>
      <c r="H22" s="500"/>
      <c r="I22" s="526">
        <v>445</v>
      </c>
      <c r="J22" s="592">
        <f>I22+$I$26+$I$27</f>
        <v>510</v>
      </c>
    </row>
    <row r="23" spans="1:10" ht="15">
      <c r="A23" s="745"/>
      <c r="B23" s="752"/>
      <c r="C23" s="259" t="s">
        <v>1686</v>
      </c>
      <c r="D23" s="259" t="s">
        <v>1688</v>
      </c>
      <c r="E23" s="260" t="s">
        <v>3202</v>
      </c>
      <c r="F23" s="737"/>
      <c r="G23" s="499">
        <v>1248</v>
      </c>
      <c r="H23" s="500"/>
      <c r="I23" s="526">
        <v>475</v>
      </c>
      <c r="J23" s="592">
        <f t="shared" ref="J23:J25" si="2">I23+$I$26+$I$27</f>
        <v>540</v>
      </c>
    </row>
    <row r="24" spans="1:10" s="261" customFormat="1" ht="15">
      <c r="A24" s="745"/>
      <c r="B24" s="752"/>
      <c r="C24" s="259" t="s">
        <v>1689</v>
      </c>
      <c r="D24" s="259"/>
      <c r="E24" s="260" t="s">
        <v>3209</v>
      </c>
      <c r="F24" s="737"/>
      <c r="G24" s="499">
        <v>1248</v>
      </c>
      <c r="H24" s="500"/>
      <c r="I24" s="526">
        <v>475</v>
      </c>
      <c r="J24" s="592">
        <f t="shared" si="2"/>
        <v>540</v>
      </c>
    </row>
    <row r="25" spans="1:10" ht="15">
      <c r="A25" s="745"/>
      <c r="B25" s="752"/>
      <c r="C25" s="259" t="s">
        <v>1691</v>
      </c>
      <c r="D25" s="259" t="s">
        <v>1693</v>
      </c>
      <c r="E25" s="260" t="s">
        <v>3210</v>
      </c>
      <c r="F25" s="738"/>
      <c r="G25" s="499">
        <v>1339</v>
      </c>
      <c r="H25" s="500"/>
      <c r="I25" s="526">
        <v>509</v>
      </c>
      <c r="J25" s="592">
        <f t="shared" si="2"/>
        <v>574</v>
      </c>
    </row>
    <row r="26" spans="1:10" ht="15">
      <c r="A26" s="745"/>
      <c r="B26" s="752"/>
      <c r="C26" s="249" t="s">
        <v>1653</v>
      </c>
      <c r="D26" s="259" t="s">
        <v>558</v>
      </c>
      <c r="E26" s="253"/>
      <c r="F26" s="371" t="s">
        <v>3211</v>
      </c>
      <c r="G26" s="499">
        <v>143</v>
      </c>
      <c r="H26" s="500"/>
      <c r="I26" s="526">
        <v>55</v>
      </c>
    </row>
    <row r="27" spans="1:10" ht="15">
      <c r="A27" s="745"/>
      <c r="B27" s="753"/>
      <c r="C27" s="263">
        <v>12126200000215</v>
      </c>
      <c r="D27" s="259"/>
      <c r="E27" s="244"/>
      <c r="F27" s="372" t="s">
        <v>3227</v>
      </c>
      <c r="G27" s="499">
        <v>26</v>
      </c>
      <c r="H27" s="500"/>
      <c r="I27" s="526">
        <v>10</v>
      </c>
    </row>
    <row r="28" spans="1:10" ht="15">
      <c r="A28" s="745"/>
      <c r="B28" s="751" t="s">
        <v>3228</v>
      </c>
      <c r="C28" s="264" t="s">
        <v>1694</v>
      </c>
      <c r="D28" s="259" t="s">
        <v>1696</v>
      </c>
      <c r="E28" s="253" t="s">
        <v>3215</v>
      </c>
      <c r="F28" s="736" t="s">
        <v>3229</v>
      </c>
      <c r="G28" s="499">
        <v>1437</v>
      </c>
      <c r="H28" s="500"/>
      <c r="I28" s="526">
        <v>547</v>
      </c>
      <c r="J28" s="592">
        <f>+I28+$I$34</f>
        <v>656</v>
      </c>
    </row>
    <row r="29" spans="1:10" ht="15">
      <c r="A29" s="745"/>
      <c r="B29" s="752"/>
      <c r="C29" s="264" t="s">
        <v>1697</v>
      </c>
      <c r="D29" s="259" t="s">
        <v>1699</v>
      </c>
      <c r="E29" s="253" t="s">
        <v>3217</v>
      </c>
      <c r="F29" s="737"/>
      <c r="G29" s="499">
        <v>1632</v>
      </c>
      <c r="H29" s="500"/>
      <c r="I29" s="526">
        <v>621</v>
      </c>
      <c r="J29" s="592">
        <f t="shared" ref="J29:J33" si="3">+I29+$I$34</f>
        <v>730</v>
      </c>
    </row>
    <row r="30" spans="1:10" ht="15">
      <c r="A30" s="745"/>
      <c r="B30" s="752"/>
      <c r="C30" s="264" t="s">
        <v>1700</v>
      </c>
      <c r="D30" s="259" t="s">
        <v>1702</v>
      </c>
      <c r="E30" s="253" t="s">
        <v>3218</v>
      </c>
      <c r="F30" s="737"/>
      <c r="G30" s="499">
        <v>1749</v>
      </c>
      <c r="H30" s="500"/>
      <c r="I30" s="526">
        <v>665</v>
      </c>
      <c r="J30" s="592">
        <f t="shared" si="3"/>
        <v>774</v>
      </c>
    </row>
    <row r="31" spans="1:10" ht="15">
      <c r="A31" s="745"/>
      <c r="B31" s="752"/>
      <c r="C31" s="264" t="s">
        <v>1703</v>
      </c>
      <c r="D31" s="259" t="s">
        <v>1705</v>
      </c>
      <c r="E31" s="253" t="s">
        <v>3219</v>
      </c>
      <c r="F31" s="737"/>
      <c r="G31" s="499">
        <v>1820</v>
      </c>
      <c r="H31" s="500"/>
      <c r="I31" s="526">
        <v>692</v>
      </c>
      <c r="J31" s="592">
        <f t="shared" si="3"/>
        <v>801</v>
      </c>
    </row>
    <row r="32" spans="1:10">
      <c r="A32" s="745"/>
      <c r="B32" s="752"/>
      <c r="C32" s="264" t="s">
        <v>1706</v>
      </c>
      <c r="D32" s="259" t="s">
        <v>1708</v>
      </c>
      <c r="E32" s="253">
        <v>1200</v>
      </c>
      <c r="F32" s="737"/>
      <c r="G32" s="499">
        <v>1957</v>
      </c>
      <c r="H32" s="500"/>
      <c r="I32" s="526">
        <v>744</v>
      </c>
      <c r="J32" s="592">
        <f t="shared" si="3"/>
        <v>853</v>
      </c>
    </row>
    <row r="33" spans="1:10">
      <c r="A33" s="746"/>
      <c r="B33" s="753"/>
      <c r="C33" s="264" t="s">
        <v>1709</v>
      </c>
      <c r="D33" s="259" t="s">
        <v>1711</v>
      </c>
      <c r="E33" s="253">
        <v>1400</v>
      </c>
      <c r="F33" s="738"/>
      <c r="G33" s="499">
        <v>2054</v>
      </c>
      <c r="H33" s="500"/>
      <c r="I33" s="526">
        <v>781</v>
      </c>
      <c r="J33" s="592">
        <f t="shared" si="3"/>
        <v>890</v>
      </c>
    </row>
    <row r="34" spans="1:10" ht="15">
      <c r="A34" s="266"/>
      <c r="B34" s="262"/>
      <c r="C34" s="264" t="s">
        <v>1673</v>
      </c>
      <c r="D34" s="259" t="s">
        <v>1675</v>
      </c>
      <c r="E34" s="253"/>
      <c r="F34" s="254" t="s">
        <v>3220</v>
      </c>
      <c r="G34" s="499">
        <v>286</v>
      </c>
      <c r="H34" s="500"/>
      <c r="I34" s="526">
        <v>109</v>
      </c>
    </row>
    <row r="35" spans="1:10">
      <c r="B35" s="257"/>
      <c r="C35" s="247"/>
      <c r="D35" s="247"/>
      <c r="E35" s="247"/>
      <c r="F35" s="247"/>
    </row>
    <row r="36" spans="1:10">
      <c r="B36" s="257"/>
      <c r="C36" s="247"/>
      <c r="D36" s="247"/>
      <c r="E36" s="247"/>
      <c r="F36" s="247"/>
    </row>
    <row r="37" spans="1:10">
      <c r="A37" s="267"/>
      <c r="B37" s="257"/>
      <c r="C37" s="247"/>
      <c r="D37" s="247"/>
      <c r="E37" s="247"/>
      <c r="F37" s="247"/>
    </row>
    <row r="38" spans="1:10">
      <c r="A38" s="250"/>
      <c r="B38" s="257"/>
      <c r="C38" s="247"/>
      <c r="D38" s="247"/>
      <c r="E38" s="247"/>
      <c r="F38" s="247"/>
    </row>
    <row r="39" spans="1:10">
      <c r="A39" s="247"/>
      <c r="B39" s="257"/>
      <c r="C39" s="247"/>
      <c r="D39" s="247"/>
      <c r="E39" s="247"/>
      <c r="F39" s="247"/>
    </row>
    <row r="40" spans="1:10">
      <c r="A40" s="247"/>
      <c r="B40" s="257"/>
      <c r="C40" s="247"/>
      <c r="D40" s="247"/>
      <c r="E40" s="247"/>
      <c r="F40" s="247"/>
    </row>
    <row r="41" spans="1:10">
      <c r="A41" s="247"/>
      <c r="B41" s="257"/>
      <c r="C41" s="247"/>
      <c r="D41" s="247"/>
      <c r="E41" s="247"/>
      <c r="F41" s="247"/>
    </row>
    <row r="42" spans="1:10">
      <c r="A42" s="247"/>
      <c r="B42" s="257"/>
      <c r="C42" s="247"/>
      <c r="D42" s="247"/>
      <c r="E42" s="247"/>
      <c r="F42" s="247"/>
    </row>
    <row r="43" spans="1:10">
      <c r="A43" s="247"/>
      <c r="B43" s="257"/>
      <c r="C43" s="247"/>
      <c r="D43" s="247"/>
      <c r="E43" s="247"/>
      <c r="F43" s="247"/>
    </row>
    <row r="44" spans="1:10">
      <c r="A44" s="247"/>
      <c r="B44" s="257"/>
      <c r="C44" s="247"/>
      <c r="D44" s="247"/>
      <c r="E44" s="247"/>
      <c r="F44" s="247"/>
    </row>
    <row r="45" spans="1:10">
      <c r="A45" s="247"/>
      <c r="B45" s="257"/>
      <c r="C45" s="247"/>
      <c r="D45" s="247"/>
      <c r="E45" s="247"/>
      <c r="F45" s="247"/>
    </row>
    <row r="46" spans="1:10">
      <c r="A46" s="267"/>
      <c r="B46" s="257"/>
      <c r="C46" s="247"/>
      <c r="D46" s="247"/>
      <c r="E46" s="247"/>
      <c r="F46" s="247"/>
    </row>
    <row r="47" spans="1:10">
      <c r="A47" s="267"/>
      <c r="B47" s="257"/>
      <c r="C47" s="247"/>
      <c r="D47" s="247"/>
      <c r="E47" s="247"/>
      <c r="F47" s="247"/>
    </row>
    <row r="48" spans="1:10">
      <c r="B48" s="257"/>
      <c r="C48" s="247"/>
      <c r="D48" s="247"/>
      <c r="E48" s="247"/>
      <c r="F48" s="247"/>
    </row>
    <row r="51" spans="1:6">
      <c r="A51" s="247"/>
      <c r="B51" s="257"/>
      <c r="C51" s="247"/>
      <c r="D51" s="247"/>
      <c r="E51" s="247"/>
      <c r="F51" s="247"/>
    </row>
    <row r="52" spans="1:6">
      <c r="A52" s="247"/>
      <c r="B52" s="257"/>
      <c r="C52" s="247"/>
      <c r="D52" s="247"/>
      <c r="E52" s="247"/>
      <c r="F52" s="247"/>
    </row>
    <row r="53" spans="1:6">
      <c r="A53" s="247"/>
      <c r="B53" s="257"/>
      <c r="C53" s="247"/>
      <c r="D53" s="247"/>
      <c r="E53" s="247"/>
      <c r="F53" s="247"/>
    </row>
    <row r="54" spans="1:6">
      <c r="A54" s="247"/>
      <c r="B54" s="257"/>
      <c r="C54" s="247"/>
      <c r="D54" s="247"/>
      <c r="E54" s="247"/>
      <c r="F54" s="247"/>
    </row>
    <row r="55" spans="1:6">
      <c r="A55" s="247"/>
      <c r="B55" s="257"/>
      <c r="C55" s="247"/>
      <c r="D55" s="247"/>
      <c r="E55" s="247"/>
      <c r="F55" s="247"/>
    </row>
    <row r="56" spans="1:6">
      <c r="A56" s="247"/>
      <c r="B56" s="257"/>
      <c r="C56" s="247"/>
      <c r="D56" s="247"/>
      <c r="E56" s="247"/>
      <c r="F56" s="247"/>
    </row>
    <row r="57" spans="1:6">
      <c r="A57" s="247"/>
      <c r="B57" s="257"/>
      <c r="C57" s="247"/>
      <c r="D57" s="247"/>
      <c r="E57" s="247"/>
      <c r="F57" s="247"/>
    </row>
    <row r="58" spans="1:6">
      <c r="A58" s="267"/>
      <c r="B58" s="257"/>
      <c r="C58" s="247"/>
      <c r="D58" s="247"/>
      <c r="E58" s="247"/>
      <c r="F58" s="247"/>
    </row>
    <row r="59" spans="1:6">
      <c r="A59" s="267"/>
      <c r="B59" s="257"/>
      <c r="C59" s="247"/>
      <c r="D59" s="247"/>
      <c r="E59" s="247"/>
      <c r="F59" s="247"/>
    </row>
    <row r="60" spans="1:6">
      <c r="B60" s="257"/>
      <c r="C60" s="247"/>
      <c r="D60" s="247"/>
      <c r="E60" s="247"/>
      <c r="F60" s="247"/>
    </row>
  </sheetData>
  <mergeCells count="17">
    <mergeCell ref="A3:A19"/>
    <mergeCell ref="F22:F25"/>
    <mergeCell ref="F1:F2"/>
    <mergeCell ref="F3:F6"/>
    <mergeCell ref="F28:F33"/>
    <mergeCell ref="A22:A33"/>
    <mergeCell ref="E1:E2"/>
    <mergeCell ref="C1:C2"/>
    <mergeCell ref="B1:B2"/>
    <mergeCell ref="B28:B33"/>
    <mergeCell ref="B3:B9"/>
    <mergeCell ref="B10:B16"/>
    <mergeCell ref="B17:B21"/>
    <mergeCell ref="B22:B27"/>
    <mergeCell ref="F10:F15"/>
    <mergeCell ref="F17:F19"/>
    <mergeCell ref="A1:A2"/>
  </mergeCells>
  <phoneticPr fontId="46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22"/>
  <sheetViews>
    <sheetView zoomScale="184" zoomScaleNormal="115" workbookViewId="0">
      <pane xSplit="2" ySplit="2" topLeftCell="C25" activePane="bottomRight" state="frozen"/>
      <selection pane="topRight"/>
      <selection pane="bottomLeft"/>
      <selection pane="bottomRight" activeCell="K39" sqref="K39"/>
    </sheetView>
  </sheetViews>
  <sheetFormatPr baseColWidth="10" defaultColWidth="9" defaultRowHeight="12"/>
  <cols>
    <col min="1" max="1" width="11.1640625" style="274" customWidth="1"/>
    <col min="2" max="2" width="12.6640625" style="274" customWidth="1"/>
    <col min="3" max="3" width="18.6640625" style="279" customWidth="1"/>
    <col min="4" max="4" width="18.6640625" style="283" customWidth="1"/>
    <col min="5" max="5" width="9.1640625" style="275" customWidth="1"/>
    <col min="6" max="6" width="32.1640625" style="274" customWidth="1"/>
    <col min="7" max="7" width="9" style="270"/>
    <col min="8" max="8" width="2" style="270" customWidth="1"/>
    <col min="9" max="11" width="9" style="270" customWidth="1"/>
    <col min="12" max="16384" width="9" style="270"/>
  </cols>
  <sheetData>
    <row r="1" spans="1:9" ht="15" customHeight="1">
      <c r="A1" s="761" t="s">
        <v>3127</v>
      </c>
      <c r="B1" s="765" t="s">
        <v>3128</v>
      </c>
      <c r="C1" s="765" t="s">
        <v>1032</v>
      </c>
      <c r="D1" s="770" t="s">
        <v>2406</v>
      </c>
      <c r="E1" s="765" t="s">
        <v>3129</v>
      </c>
      <c r="F1" s="761" t="s">
        <v>2238</v>
      </c>
      <c r="G1" s="501"/>
      <c r="H1" s="502"/>
      <c r="I1" s="525">
        <v>0.38</v>
      </c>
    </row>
    <row r="2" spans="1:9" ht="40.5" customHeight="1">
      <c r="A2" s="762"/>
      <c r="B2" s="766"/>
      <c r="C2" s="766"/>
      <c r="D2" s="771"/>
      <c r="E2" s="766"/>
      <c r="F2" s="762"/>
      <c r="G2" s="492" t="s">
        <v>4077</v>
      </c>
      <c r="H2" s="489"/>
      <c r="I2" s="492" t="s">
        <v>4078</v>
      </c>
    </row>
    <row r="3" spans="1:9" ht="22.5" customHeight="1">
      <c r="A3" s="767" t="s">
        <v>3230</v>
      </c>
      <c r="B3" s="772" t="s">
        <v>2586</v>
      </c>
      <c r="C3" s="398" t="s">
        <v>3231</v>
      </c>
      <c r="D3" s="399">
        <v>22026212000026</v>
      </c>
      <c r="E3" s="400">
        <v>300</v>
      </c>
      <c r="F3" s="760" t="s">
        <v>4052</v>
      </c>
      <c r="G3" s="499">
        <v>995</v>
      </c>
      <c r="H3" s="500"/>
      <c r="I3" s="526">
        <v>379</v>
      </c>
    </row>
    <row r="4" spans="1:9" ht="22.5" customHeight="1">
      <c r="A4" s="768"/>
      <c r="B4" s="773"/>
      <c r="C4" s="398" t="s">
        <v>3232</v>
      </c>
      <c r="D4" s="399">
        <v>22026212000021</v>
      </c>
      <c r="E4" s="400">
        <v>400</v>
      </c>
      <c r="F4" s="763"/>
      <c r="G4" s="499">
        <v>1066</v>
      </c>
      <c r="H4" s="500"/>
      <c r="I4" s="526">
        <v>406</v>
      </c>
    </row>
    <row r="5" spans="1:9" s="271" customFormat="1" ht="22.5" customHeight="1">
      <c r="A5" s="768"/>
      <c r="B5" s="774"/>
      <c r="C5" s="398" t="s">
        <v>3233</v>
      </c>
      <c r="D5" s="399" t="s">
        <v>3234</v>
      </c>
      <c r="E5" s="400">
        <v>500</v>
      </c>
      <c r="F5" s="764"/>
      <c r="G5" s="499">
        <v>1164</v>
      </c>
      <c r="H5" s="500"/>
      <c r="I5" s="526">
        <v>443</v>
      </c>
    </row>
    <row r="6" spans="1:9" ht="14">
      <c r="A6" s="768"/>
      <c r="B6" s="402"/>
      <c r="C6" s="403" t="s">
        <v>1653</v>
      </c>
      <c r="D6" s="404"/>
      <c r="E6" s="404"/>
      <c r="F6" s="417" t="s">
        <v>3211</v>
      </c>
      <c r="G6" s="499">
        <v>143</v>
      </c>
      <c r="H6" s="500"/>
      <c r="I6" s="526">
        <v>55</v>
      </c>
    </row>
    <row r="7" spans="1:9" ht="14">
      <c r="A7" s="768"/>
      <c r="B7" s="402"/>
      <c r="C7" s="405">
        <v>12126200000215</v>
      </c>
      <c r="D7" s="406">
        <v>12126200000215</v>
      </c>
      <c r="E7" s="404"/>
      <c r="F7" s="418" t="s">
        <v>3227</v>
      </c>
      <c r="G7" s="499">
        <v>26</v>
      </c>
      <c r="H7" s="500"/>
      <c r="I7" s="526">
        <v>10</v>
      </c>
    </row>
    <row r="8" spans="1:9" ht="14">
      <c r="A8" s="768"/>
      <c r="B8" s="772" t="s">
        <v>2610</v>
      </c>
      <c r="C8" s="398" t="s">
        <v>3235</v>
      </c>
      <c r="D8" s="399">
        <v>22026212000022</v>
      </c>
      <c r="E8" s="400">
        <v>600</v>
      </c>
      <c r="F8" s="760" t="s">
        <v>4053</v>
      </c>
      <c r="G8" s="499">
        <v>1138</v>
      </c>
      <c r="H8" s="500"/>
      <c r="I8" s="526">
        <v>433</v>
      </c>
    </row>
    <row r="9" spans="1:9" ht="14">
      <c r="A9" s="768"/>
      <c r="B9" s="773"/>
      <c r="C9" s="398" t="s">
        <v>3236</v>
      </c>
      <c r="D9" s="399">
        <v>22026212000016</v>
      </c>
      <c r="E9" s="400">
        <v>750</v>
      </c>
      <c r="F9" s="763"/>
      <c r="G9" s="499">
        <v>1209</v>
      </c>
      <c r="H9" s="500"/>
      <c r="I9" s="526">
        <v>460</v>
      </c>
    </row>
    <row r="10" spans="1:9" ht="14">
      <c r="A10" s="768"/>
      <c r="B10" s="773"/>
      <c r="C10" s="398" t="s">
        <v>3237</v>
      </c>
      <c r="D10" s="399">
        <v>22026212000047</v>
      </c>
      <c r="E10" s="400">
        <v>850</v>
      </c>
      <c r="F10" s="763"/>
      <c r="G10" s="499">
        <v>1333</v>
      </c>
      <c r="H10" s="500"/>
      <c r="I10" s="526">
        <v>507</v>
      </c>
    </row>
    <row r="11" spans="1:9" ht="14">
      <c r="A11" s="768"/>
      <c r="B11" s="773"/>
      <c r="C11" s="398" t="s">
        <v>3238</v>
      </c>
      <c r="D11" s="399">
        <v>22026212000056</v>
      </c>
      <c r="E11" s="400">
        <v>950</v>
      </c>
      <c r="F11" s="763"/>
      <c r="G11" s="499">
        <v>1417</v>
      </c>
      <c r="H11" s="500"/>
      <c r="I11" s="526">
        <v>539</v>
      </c>
    </row>
    <row r="12" spans="1:9" ht="14">
      <c r="A12" s="768"/>
      <c r="B12" s="773"/>
      <c r="C12" s="398" t="s">
        <v>3239</v>
      </c>
      <c r="D12" s="399">
        <v>22026212000032</v>
      </c>
      <c r="E12" s="400">
        <v>1200</v>
      </c>
      <c r="F12" s="763"/>
      <c r="G12" s="499">
        <v>1476</v>
      </c>
      <c r="H12" s="500"/>
      <c r="I12" s="526">
        <v>561</v>
      </c>
    </row>
    <row r="13" spans="1:9" ht="14">
      <c r="A13" s="768"/>
      <c r="B13" s="774"/>
      <c r="C13" s="398" t="s">
        <v>3240</v>
      </c>
      <c r="D13" s="399">
        <v>22026212000025</v>
      </c>
      <c r="E13" s="400">
        <v>1500</v>
      </c>
      <c r="F13" s="764"/>
      <c r="G13" s="499">
        <v>1554</v>
      </c>
      <c r="H13" s="500"/>
      <c r="I13" s="526">
        <v>591</v>
      </c>
    </row>
    <row r="14" spans="1:9" ht="14">
      <c r="A14" s="768"/>
      <c r="B14" s="402"/>
      <c r="C14" s="398" t="s">
        <v>1673</v>
      </c>
      <c r="D14" s="404" t="s">
        <v>1675</v>
      </c>
      <c r="E14" s="404"/>
      <c r="F14" s="417" t="s">
        <v>3220</v>
      </c>
      <c r="G14" s="499">
        <v>286</v>
      </c>
      <c r="H14" s="500"/>
      <c r="I14" s="526">
        <v>109</v>
      </c>
    </row>
    <row r="15" spans="1:9" ht="14">
      <c r="A15" s="768"/>
      <c r="B15" s="772" t="s">
        <v>3242</v>
      </c>
      <c r="C15" s="398" t="s">
        <v>3243</v>
      </c>
      <c r="D15" s="399">
        <v>22026212000073</v>
      </c>
      <c r="E15" s="400">
        <v>300</v>
      </c>
      <c r="F15" s="757" t="s">
        <v>4054</v>
      </c>
      <c r="G15" s="499">
        <v>1073</v>
      </c>
      <c r="H15" s="500"/>
      <c r="I15" s="526">
        <v>408</v>
      </c>
    </row>
    <row r="16" spans="1:9" ht="14">
      <c r="A16" s="768"/>
      <c r="B16" s="773"/>
      <c r="C16" s="407" t="s">
        <v>3244</v>
      </c>
      <c r="D16" s="408">
        <v>22026212000072</v>
      </c>
      <c r="E16" s="409">
        <v>400</v>
      </c>
      <c r="F16" s="758"/>
      <c r="G16" s="499">
        <v>1274</v>
      </c>
      <c r="H16" s="500"/>
      <c r="I16" s="526">
        <v>485</v>
      </c>
    </row>
    <row r="17" spans="1:9" ht="14">
      <c r="A17" s="769"/>
      <c r="B17" s="774"/>
      <c r="C17" s="407" t="s">
        <v>1681</v>
      </c>
      <c r="D17" s="408">
        <v>22026212000071</v>
      </c>
      <c r="E17" s="409">
        <v>600</v>
      </c>
      <c r="F17" s="759"/>
      <c r="G17" s="499">
        <v>1378</v>
      </c>
      <c r="H17" s="500"/>
      <c r="I17" s="526">
        <v>524</v>
      </c>
    </row>
    <row r="18" spans="1:9" ht="14">
      <c r="A18" s="410"/>
      <c r="B18" s="402"/>
      <c r="C18" s="398" t="s">
        <v>922</v>
      </c>
      <c r="D18" s="404" t="s">
        <v>924</v>
      </c>
      <c r="E18" s="404"/>
      <c r="F18" s="417" t="s">
        <v>3223</v>
      </c>
      <c r="G18" s="499">
        <v>221</v>
      </c>
      <c r="H18" s="500"/>
      <c r="I18" s="526">
        <v>84</v>
      </c>
    </row>
    <row r="19" spans="1:9" ht="14">
      <c r="A19" s="410"/>
      <c r="B19" s="410"/>
      <c r="C19" s="398" t="s">
        <v>3245</v>
      </c>
      <c r="D19" s="404" t="s">
        <v>921</v>
      </c>
      <c r="E19" s="404"/>
      <c r="F19" s="417" t="s">
        <v>3224</v>
      </c>
      <c r="G19" s="499">
        <v>384</v>
      </c>
      <c r="H19" s="500"/>
      <c r="I19" s="526">
        <v>146</v>
      </c>
    </row>
    <row r="20" spans="1:9" ht="14">
      <c r="A20" s="401"/>
      <c r="B20" s="397"/>
      <c r="C20" s="398" t="s">
        <v>3246</v>
      </c>
      <c r="D20" s="408">
        <v>22026213000016</v>
      </c>
      <c r="E20" s="404" t="s">
        <v>3247</v>
      </c>
      <c r="F20" s="416"/>
      <c r="G20" s="499">
        <v>1066</v>
      </c>
      <c r="H20" s="500"/>
      <c r="I20" s="526">
        <v>406</v>
      </c>
    </row>
    <row r="21" spans="1:9" ht="14">
      <c r="A21" s="768"/>
      <c r="B21" s="775" t="s">
        <v>3248</v>
      </c>
      <c r="C21" s="398" t="s">
        <v>3249</v>
      </c>
      <c r="D21" s="408">
        <v>22026213000016</v>
      </c>
      <c r="E21" s="409">
        <v>250</v>
      </c>
      <c r="F21" s="760" t="s">
        <v>4055</v>
      </c>
      <c r="G21" s="499">
        <v>1131</v>
      </c>
      <c r="H21" s="500"/>
      <c r="I21" s="526">
        <v>430</v>
      </c>
    </row>
    <row r="22" spans="1:9" ht="14">
      <c r="A22" s="768"/>
      <c r="B22" s="776"/>
      <c r="C22" s="398" t="s">
        <v>3250</v>
      </c>
      <c r="D22" s="408">
        <v>22026213000017</v>
      </c>
      <c r="E22" s="409">
        <v>300</v>
      </c>
      <c r="F22" s="758"/>
      <c r="G22" s="499">
        <v>1164</v>
      </c>
      <c r="H22" s="500"/>
      <c r="I22" s="526">
        <v>443</v>
      </c>
    </row>
    <row r="23" spans="1:9" ht="14">
      <c r="A23" s="768"/>
      <c r="B23" s="776"/>
      <c r="C23" s="398" t="s">
        <v>3251</v>
      </c>
      <c r="D23" s="408">
        <v>22026213000018</v>
      </c>
      <c r="E23" s="409">
        <v>400</v>
      </c>
      <c r="F23" s="758"/>
      <c r="G23" s="499">
        <v>1203</v>
      </c>
      <c r="H23" s="500"/>
      <c r="I23" s="526">
        <v>458</v>
      </c>
    </row>
    <row r="24" spans="1:9" ht="14">
      <c r="A24" s="768"/>
      <c r="B24" s="776"/>
      <c r="C24" s="398" t="s">
        <v>3252</v>
      </c>
      <c r="D24" s="408">
        <v>22026213000019</v>
      </c>
      <c r="E24" s="409">
        <v>500</v>
      </c>
      <c r="F24" s="758"/>
      <c r="G24" s="499">
        <v>1294</v>
      </c>
      <c r="H24" s="500"/>
      <c r="I24" s="526">
        <v>492</v>
      </c>
    </row>
    <row r="25" spans="1:9" ht="14">
      <c r="A25" s="768"/>
      <c r="B25" s="777"/>
      <c r="C25" s="398" t="s">
        <v>3253</v>
      </c>
      <c r="D25" s="408">
        <v>22026213000020</v>
      </c>
      <c r="E25" s="409">
        <v>600</v>
      </c>
      <c r="F25" s="759"/>
      <c r="G25" s="499">
        <v>1320</v>
      </c>
      <c r="H25" s="500"/>
      <c r="I25" s="526">
        <v>502</v>
      </c>
    </row>
    <row r="26" spans="1:9" ht="14">
      <c r="A26" s="767" t="s">
        <v>3254</v>
      </c>
      <c r="B26" s="767" t="s">
        <v>3255</v>
      </c>
      <c r="C26" s="407" t="s">
        <v>3256</v>
      </c>
      <c r="D26" s="408" t="s">
        <v>3812</v>
      </c>
      <c r="E26" s="409">
        <v>150</v>
      </c>
      <c r="F26" s="760" t="s">
        <v>4056</v>
      </c>
      <c r="G26" s="499">
        <v>930</v>
      </c>
      <c r="H26" s="500"/>
      <c r="I26" s="526">
        <v>354</v>
      </c>
    </row>
    <row r="27" spans="1:9" ht="14">
      <c r="A27" s="768"/>
      <c r="B27" s="768"/>
      <c r="C27" s="407" t="s">
        <v>3257</v>
      </c>
      <c r="D27" s="408" t="s">
        <v>3813</v>
      </c>
      <c r="E27" s="409">
        <v>250</v>
      </c>
      <c r="F27" s="758"/>
      <c r="G27" s="499">
        <v>1021</v>
      </c>
      <c r="H27" s="500"/>
      <c r="I27" s="526">
        <v>388</v>
      </c>
    </row>
    <row r="28" spans="1:9" ht="14">
      <c r="A28" s="768"/>
      <c r="B28" s="768"/>
      <c r="C28" s="407" t="s">
        <v>3258</v>
      </c>
      <c r="D28" s="408" t="s">
        <v>3814</v>
      </c>
      <c r="E28" s="409">
        <v>300</v>
      </c>
      <c r="F28" s="758"/>
      <c r="G28" s="499">
        <v>1118</v>
      </c>
      <c r="H28" s="500"/>
      <c r="I28" s="526">
        <v>425</v>
      </c>
    </row>
    <row r="29" spans="1:9" ht="14">
      <c r="A29" s="768"/>
      <c r="B29" s="768"/>
      <c r="C29" s="407" t="s">
        <v>3259</v>
      </c>
      <c r="D29" s="408" t="s">
        <v>3815</v>
      </c>
      <c r="E29" s="409">
        <v>500</v>
      </c>
      <c r="F29" s="758"/>
      <c r="G29" s="499">
        <v>1177</v>
      </c>
      <c r="H29" s="500"/>
      <c r="I29" s="526">
        <v>448</v>
      </c>
    </row>
    <row r="30" spans="1:9" ht="14">
      <c r="A30" s="768"/>
      <c r="B30" s="768"/>
      <c r="C30" s="407" t="s">
        <v>3260</v>
      </c>
      <c r="D30" s="408" t="s">
        <v>3816</v>
      </c>
      <c r="E30" s="409">
        <v>700</v>
      </c>
      <c r="F30" s="758"/>
      <c r="G30" s="499">
        <v>1268</v>
      </c>
      <c r="H30" s="500"/>
      <c r="I30" s="526">
        <v>482</v>
      </c>
    </row>
    <row r="31" spans="1:9" ht="14">
      <c r="A31" s="768"/>
      <c r="B31" s="769"/>
      <c r="C31" s="407" t="s">
        <v>3261</v>
      </c>
      <c r="D31" s="408" t="s">
        <v>3817</v>
      </c>
      <c r="E31" s="409">
        <v>800</v>
      </c>
      <c r="F31" s="758"/>
      <c r="G31" s="499">
        <v>1430</v>
      </c>
      <c r="H31" s="500"/>
      <c r="I31" s="526">
        <v>544</v>
      </c>
    </row>
    <row r="32" spans="1:9" ht="14">
      <c r="A32" s="768"/>
      <c r="B32" s="767" t="s">
        <v>3262</v>
      </c>
      <c r="C32" s="407" t="s">
        <v>3263</v>
      </c>
      <c r="D32" s="408" t="s">
        <v>3818</v>
      </c>
      <c r="E32" s="409">
        <v>150</v>
      </c>
      <c r="F32" s="758"/>
      <c r="G32" s="499">
        <v>956</v>
      </c>
      <c r="H32" s="500"/>
      <c r="I32" s="526">
        <v>364</v>
      </c>
    </row>
    <row r="33" spans="1:10" ht="14">
      <c r="A33" s="768"/>
      <c r="B33" s="768"/>
      <c r="C33" s="407" t="s">
        <v>3264</v>
      </c>
      <c r="D33" s="408" t="s">
        <v>3819</v>
      </c>
      <c r="E33" s="409">
        <v>250</v>
      </c>
      <c r="F33" s="758"/>
      <c r="G33" s="499">
        <v>1060</v>
      </c>
      <c r="H33" s="500"/>
      <c r="I33" s="526">
        <v>403</v>
      </c>
    </row>
    <row r="34" spans="1:10" ht="14">
      <c r="A34" s="768"/>
      <c r="B34" s="768"/>
      <c r="C34" s="407" t="s">
        <v>3265</v>
      </c>
      <c r="D34" s="408" t="s">
        <v>3820</v>
      </c>
      <c r="E34" s="409">
        <v>300</v>
      </c>
      <c r="F34" s="758"/>
      <c r="G34" s="499">
        <v>1170</v>
      </c>
      <c r="H34" s="500"/>
      <c r="I34" s="526">
        <v>445</v>
      </c>
    </row>
    <row r="35" spans="1:10" ht="14">
      <c r="A35" s="768"/>
      <c r="B35" s="768"/>
      <c r="C35" s="407" t="s">
        <v>3266</v>
      </c>
      <c r="D35" s="408" t="s">
        <v>3821</v>
      </c>
      <c r="E35" s="409">
        <v>500</v>
      </c>
      <c r="F35" s="758"/>
      <c r="G35" s="499">
        <v>1248</v>
      </c>
      <c r="H35" s="500"/>
      <c r="I35" s="526">
        <v>475</v>
      </c>
    </row>
    <row r="36" spans="1:10" ht="14">
      <c r="A36" s="768"/>
      <c r="B36" s="768"/>
      <c r="C36" s="407" t="s">
        <v>3267</v>
      </c>
      <c r="D36" s="408" t="s">
        <v>3822</v>
      </c>
      <c r="E36" s="409">
        <v>700</v>
      </c>
      <c r="F36" s="758"/>
      <c r="G36" s="499">
        <v>1333</v>
      </c>
      <c r="H36" s="500"/>
      <c r="I36" s="526">
        <v>507</v>
      </c>
    </row>
    <row r="37" spans="1:10" ht="14">
      <c r="A37" s="768"/>
      <c r="B37" s="769"/>
      <c r="C37" s="407" t="s">
        <v>3268</v>
      </c>
      <c r="D37" s="408" t="s">
        <v>3823</v>
      </c>
      <c r="E37" s="409">
        <v>800</v>
      </c>
      <c r="F37" s="759"/>
      <c r="G37" s="499">
        <v>1521</v>
      </c>
      <c r="H37" s="500"/>
      <c r="I37" s="526">
        <v>578</v>
      </c>
    </row>
    <row r="38" spans="1:10" ht="14">
      <c r="A38" s="768"/>
      <c r="B38" s="767" t="s">
        <v>3255</v>
      </c>
      <c r="C38" s="407" t="s">
        <v>1922</v>
      </c>
      <c r="D38" s="408">
        <v>22026214000069</v>
      </c>
      <c r="E38" s="409">
        <v>150</v>
      </c>
      <c r="F38" s="760" t="s">
        <v>4057</v>
      </c>
      <c r="G38" s="499">
        <v>930</v>
      </c>
      <c r="H38" s="500"/>
      <c r="I38" s="526">
        <v>354</v>
      </c>
    </row>
    <row r="39" spans="1:10" ht="14">
      <c r="A39" s="768"/>
      <c r="B39" s="768"/>
      <c r="C39" s="407" t="s">
        <v>1924</v>
      </c>
      <c r="D39" s="408">
        <v>22026214000077</v>
      </c>
      <c r="E39" s="409">
        <v>250</v>
      </c>
      <c r="F39" s="758"/>
      <c r="G39" s="499">
        <v>1021</v>
      </c>
      <c r="H39" s="500"/>
      <c r="I39" s="526">
        <v>388</v>
      </c>
    </row>
    <row r="40" spans="1:10" ht="14">
      <c r="A40" s="768"/>
      <c r="B40" s="768"/>
      <c r="C40" s="407" t="s">
        <v>1926</v>
      </c>
      <c r="D40" s="408">
        <v>22026214000068</v>
      </c>
      <c r="E40" s="409">
        <v>300</v>
      </c>
      <c r="F40" s="758"/>
      <c r="G40" s="499">
        <v>1118</v>
      </c>
      <c r="H40" s="500"/>
      <c r="I40" s="526">
        <v>425</v>
      </c>
    </row>
    <row r="41" spans="1:10" ht="14">
      <c r="A41" s="768"/>
      <c r="B41" s="768"/>
      <c r="C41" s="407" t="s">
        <v>1928</v>
      </c>
      <c r="D41" s="408">
        <v>22026214000075</v>
      </c>
      <c r="E41" s="409">
        <v>500</v>
      </c>
      <c r="F41" s="758"/>
      <c r="G41" s="499">
        <v>1177</v>
      </c>
      <c r="H41" s="500"/>
      <c r="I41" s="526">
        <v>448</v>
      </c>
    </row>
    <row r="42" spans="1:10" ht="14">
      <c r="A42" s="768"/>
      <c r="B42" s="768"/>
      <c r="C42" s="407" t="s">
        <v>1930</v>
      </c>
      <c r="D42" s="408">
        <v>22026214000088</v>
      </c>
      <c r="E42" s="409">
        <v>700</v>
      </c>
      <c r="F42" s="758"/>
      <c r="G42" s="499">
        <v>1268</v>
      </c>
      <c r="H42" s="500"/>
      <c r="I42" s="526">
        <v>482</v>
      </c>
    </row>
    <row r="43" spans="1:10" ht="14">
      <c r="A43" s="768"/>
      <c r="B43" s="769"/>
      <c r="C43" s="407" t="s">
        <v>1932</v>
      </c>
      <c r="D43" s="408">
        <v>22026214000074</v>
      </c>
      <c r="E43" s="409">
        <v>800</v>
      </c>
      <c r="F43" s="758"/>
      <c r="G43" s="499">
        <v>1430</v>
      </c>
      <c r="H43" s="500"/>
      <c r="I43" s="526">
        <v>544</v>
      </c>
    </row>
    <row r="44" spans="1:10" ht="14">
      <c r="A44" s="768"/>
      <c r="B44" s="767" t="s">
        <v>3262</v>
      </c>
      <c r="C44" s="407" t="s">
        <v>1934</v>
      </c>
      <c r="D44" s="408">
        <v>22026214000073</v>
      </c>
      <c r="E44" s="409">
        <v>150</v>
      </c>
      <c r="F44" s="758"/>
      <c r="G44" s="499">
        <v>956</v>
      </c>
      <c r="H44" s="500"/>
      <c r="I44" s="526">
        <v>364</v>
      </c>
      <c r="J44" s="863">
        <f>+I44+'FCU-other'!$I$27+57</f>
        <v>439</v>
      </c>
    </row>
    <row r="45" spans="1:10" ht="14">
      <c r="A45" s="768"/>
      <c r="B45" s="768"/>
      <c r="C45" s="407" t="s">
        <v>1936</v>
      </c>
      <c r="D45" s="408">
        <v>22026214000078</v>
      </c>
      <c r="E45" s="409">
        <v>250</v>
      </c>
      <c r="F45" s="758"/>
      <c r="G45" s="499">
        <v>1060</v>
      </c>
      <c r="H45" s="500"/>
      <c r="I45" s="526">
        <v>403</v>
      </c>
      <c r="J45" s="863">
        <f>+I45+'FCU-other'!$I$27+57</f>
        <v>478</v>
      </c>
    </row>
    <row r="46" spans="1:10" ht="14">
      <c r="A46" s="768"/>
      <c r="B46" s="768"/>
      <c r="C46" s="407" t="s">
        <v>1938</v>
      </c>
      <c r="D46" s="408">
        <v>22026214000076</v>
      </c>
      <c r="E46" s="409">
        <v>300</v>
      </c>
      <c r="F46" s="758"/>
      <c r="G46" s="499">
        <v>1170</v>
      </c>
      <c r="H46" s="500"/>
      <c r="I46" s="526">
        <v>445</v>
      </c>
      <c r="J46" s="863">
        <f>+I46+'FCU-other'!$I$27+57</f>
        <v>520</v>
      </c>
    </row>
    <row r="47" spans="1:10" ht="14">
      <c r="A47" s="768"/>
      <c r="B47" s="768"/>
      <c r="C47" s="407" t="s">
        <v>1940</v>
      </c>
      <c r="D47" s="408">
        <v>22026214000070</v>
      </c>
      <c r="E47" s="409">
        <v>500</v>
      </c>
      <c r="F47" s="758"/>
      <c r="G47" s="499">
        <v>1248</v>
      </c>
      <c r="H47" s="500"/>
      <c r="I47" s="526">
        <v>475</v>
      </c>
      <c r="J47" s="863">
        <f>+I47+'FCU-other'!$I$27+57</f>
        <v>550</v>
      </c>
    </row>
    <row r="48" spans="1:10" ht="14">
      <c r="A48" s="768"/>
      <c r="B48" s="768"/>
      <c r="C48" s="407" t="s">
        <v>1942</v>
      </c>
      <c r="D48" s="408">
        <v>22026214000087</v>
      </c>
      <c r="E48" s="409">
        <v>700</v>
      </c>
      <c r="F48" s="758"/>
      <c r="G48" s="499">
        <v>1333</v>
      </c>
      <c r="H48" s="500"/>
      <c r="I48" s="526">
        <v>507</v>
      </c>
      <c r="J48" s="863">
        <f>+I48+'FCU-other'!$I$27+57</f>
        <v>582</v>
      </c>
    </row>
    <row r="49" spans="1:10" ht="14">
      <c r="A49" s="768"/>
      <c r="B49" s="769"/>
      <c r="C49" s="407" t="s">
        <v>1944</v>
      </c>
      <c r="D49" s="408">
        <v>22026214000067</v>
      </c>
      <c r="E49" s="409">
        <v>800</v>
      </c>
      <c r="F49" s="759"/>
      <c r="G49" s="499">
        <v>1521</v>
      </c>
      <c r="H49" s="500"/>
      <c r="I49" s="526">
        <v>578</v>
      </c>
      <c r="J49" s="863">
        <f>+I49+'FCU-other'!$I$27+57</f>
        <v>653</v>
      </c>
    </row>
    <row r="50" spans="1:10" ht="14">
      <c r="A50" s="768"/>
      <c r="B50" s="767" t="s">
        <v>3269</v>
      </c>
      <c r="C50" s="398" t="s">
        <v>2199</v>
      </c>
      <c r="D50" s="408" t="s">
        <v>3812</v>
      </c>
      <c r="E50" s="409">
        <v>150</v>
      </c>
      <c r="F50" s="760" t="s">
        <v>4057</v>
      </c>
      <c r="G50" s="499">
        <v>858</v>
      </c>
      <c r="H50" s="500"/>
      <c r="I50" s="526">
        <v>327</v>
      </c>
    </row>
    <row r="51" spans="1:10" ht="14">
      <c r="A51" s="768"/>
      <c r="B51" s="768"/>
      <c r="C51" s="407" t="s">
        <v>3270</v>
      </c>
      <c r="D51" s="408" t="s">
        <v>3813</v>
      </c>
      <c r="E51" s="409">
        <v>250</v>
      </c>
      <c r="F51" s="758"/>
      <c r="G51" s="499">
        <v>943</v>
      </c>
      <c r="H51" s="500"/>
      <c r="I51" s="526">
        <v>359</v>
      </c>
    </row>
    <row r="52" spans="1:10" ht="14">
      <c r="A52" s="768"/>
      <c r="B52" s="768"/>
      <c r="C52" s="407" t="s">
        <v>3271</v>
      </c>
      <c r="D52" s="408" t="s">
        <v>3814</v>
      </c>
      <c r="E52" s="409">
        <v>300</v>
      </c>
      <c r="F52" s="758"/>
      <c r="G52" s="499">
        <v>1047</v>
      </c>
      <c r="H52" s="500"/>
      <c r="I52" s="526">
        <v>398</v>
      </c>
    </row>
    <row r="53" spans="1:10" ht="14">
      <c r="A53" s="768"/>
      <c r="B53" s="768"/>
      <c r="C53" s="407" t="s">
        <v>3272</v>
      </c>
      <c r="D53" s="408" t="s">
        <v>3815</v>
      </c>
      <c r="E53" s="409">
        <v>500</v>
      </c>
      <c r="F53" s="758"/>
      <c r="G53" s="499">
        <v>1112</v>
      </c>
      <c r="H53" s="500"/>
      <c r="I53" s="526">
        <v>423</v>
      </c>
    </row>
    <row r="54" spans="1:10" ht="14">
      <c r="A54" s="768"/>
      <c r="B54" s="768"/>
      <c r="C54" s="407" t="s">
        <v>3273</v>
      </c>
      <c r="D54" s="408" t="s">
        <v>3816</v>
      </c>
      <c r="E54" s="409">
        <v>700</v>
      </c>
      <c r="F54" s="758"/>
      <c r="G54" s="499">
        <v>1196</v>
      </c>
      <c r="H54" s="500"/>
      <c r="I54" s="526">
        <v>455</v>
      </c>
    </row>
    <row r="55" spans="1:10" ht="14">
      <c r="A55" s="768"/>
      <c r="B55" s="769"/>
      <c r="C55" s="407" t="s">
        <v>3274</v>
      </c>
      <c r="D55" s="408" t="s">
        <v>3817</v>
      </c>
      <c r="E55" s="409">
        <v>800</v>
      </c>
      <c r="F55" s="758"/>
      <c r="G55" s="499">
        <v>1378</v>
      </c>
      <c r="H55" s="500"/>
      <c r="I55" s="526">
        <v>524</v>
      </c>
    </row>
    <row r="56" spans="1:10" ht="14">
      <c r="A56" s="768"/>
      <c r="B56" s="767" t="s">
        <v>3275</v>
      </c>
      <c r="C56" s="407" t="s">
        <v>3276</v>
      </c>
      <c r="D56" s="408" t="s">
        <v>3818</v>
      </c>
      <c r="E56" s="409">
        <v>150</v>
      </c>
      <c r="F56" s="758"/>
      <c r="G56" s="499">
        <v>897</v>
      </c>
      <c r="H56" s="500"/>
      <c r="I56" s="526">
        <v>341</v>
      </c>
    </row>
    <row r="57" spans="1:10" ht="14">
      <c r="A57" s="768"/>
      <c r="B57" s="768"/>
      <c r="C57" s="407" t="s">
        <v>3277</v>
      </c>
      <c r="D57" s="408" t="s">
        <v>3819</v>
      </c>
      <c r="E57" s="409">
        <v>250</v>
      </c>
      <c r="F57" s="758"/>
      <c r="G57" s="499">
        <v>988</v>
      </c>
      <c r="H57" s="500"/>
      <c r="I57" s="526">
        <v>376</v>
      </c>
    </row>
    <row r="58" spans="1:10" ht="14">
      <c r="A58" s="768"/>
      <c r="B58" s="768"/>
      <c r="C58" s="407" t="s">
        <v>2215</v>
      </c>
      <c r="D58" s="408" t="s">
        <v>3820</v>
      </c>
      <c r="E58" s="409">
        <v>300</v>
      </c>
      <c r="F58" s="758"/>
      <c r="G58" s="499">
        <v>1092</v>
      </c>
      <c r="H58" s="500"/>
      <c r="I58" s="526">
        <v>415</v>
      </c>
    </row>
    <row r="59" spans="1:10" ht="14">
      <c r="A59" s="768"/>
      <c r="B59" s="768"/>
      <c r="C59" s="407" t="s">
        <v>3278</v>
      </c>
      <c r="D59" s="408" t="s">
        <v>3821</v>
      </c>
      <c r="E59" s="409">
        <v>500</v>
      </c>
      <c r="F59" s="758"/>
      <c r="G59" s="499">
        <v>1196</v>
      </c>
      <c r="H59" s="500"/>
      <c r="I59" s="526">
        <v>455</v>
      </c>
    </row>
    <row r="60" spans="1:10" ht="14">
      <c r="A60" s="768"/>
      <c r="B60" s="768"/>
      <c r="C60" s="407" t="s">
        <v>3279</v>
      </c>
      <c r="D60" s="408" t="s">
        <v>3822</v>
      </c>
      <c r="E60" s="409">
        <v>700</v>
      </c>
      <c r="F60" s="758"/>
      <c r="G60" s="499">
        <v>1287</v>
      </c>
      <c r="H60" s="500"/>
      <c r="I60" s="526">
        <v>490</v>
      </c>
    </row>
    <row r="61" spans="1:10" ht="14">
      <c r="A61" s="769"/>
      <c r="B61" s="769"/>
      <c r="C61" s="407" t="s">
        <v>3280</v>
      </c>
      <c r="D61" s="408" t="s">
        <v>3823</v>
      </c>
      <c r="E61" s="409">
        <v>800</v>
      </c>
      <c r="F61" s="759"/>
      <c r="G61" s="499">
        <v>1482</v>
      </c>
      <c r="H61" s="500"/>
      <c r="I61" s="526">
        <v>564</v>
      </c>
    </row>
    <row r="62" spans="1:10" ht="14">
      <c r="A62" s="692" t="s">
        <v>3884</v>
      </c>
      <c r="B62" s="767" t="s">
        <v>3281</v>
      </c>
      <c r="C62" s="407" t="s">
        <v>4042</v>
      </c>
      <c r="D62" s="408">
        <v>22026211000620</v>
      </c>
      <c r="E62" s="409">
        <v>200</v>
      </c>
      <c r="F62" s="758" t="s">
        <v>4062</v>
      </c>
      <c r="G62" s="499">
        <v>793</v>
      </c>
      <c r="H62" s="500"/>
      <c r="I62" s="526">
        <v>302</v>
      </c>
    </row>
    <row r="63" spans="1:10" ht="14">
      <c r="A63" s="692"/>
      <c r="B63" s="768"/>
      <c r="C63" s="407" t="s">
        <v>4043</v>
      </c>
      <c r="D63" s="408" t="s">
        <v>3282</v>
      </c>
      <c r="E63" s="409">
        <v>300</v>
      </c>
      <c r="F63" s="758"/>
      <c r="G63" s="499">
        <v>891</v>
      </c>
      <c r="H63" s="500"/>
      <c r="I63" s="526">
        <v>339</v>
      </c>
    </row>
    <row r="64" spans="1:10" ht="14">
      <c r="A64" s="692"/>
      <c r="B64" s="768"/>
      <c r="C64" s="407" t="s">
        <v>4044</v>
      </c>
      <c r="D64" s="408">
        <v>22026211000627</v>
      </c>
      <c r="E64" s="409">
        <v>400</v>
      </c>
      <c r="F64" s="758"/>
      <c r="G64" s="499">
        <v>936</v>
      </c>
      <c r="H64" s="500"/>
      <c r="I64" s="526">
        <v>356</v>
      </c>
    </row>
    <row r="65" spans="1:9" ht="14">
      <c r="A65" s="692"/>
      <c r="B65" s="768"/>
      <c r="C65" s="407" t="s">
        <v>4045</v>
      </c>
      <c r="D65" s="408" t="s">
        <v>3283</v>
      </c>
      <c r="E65" s="409">
        <v>500</v>
      </c>
      <c r="F65" s="758"/>
      <c r="G65" s="499">
        <v>969</v>
      </c>
      <c r="H65" s="500"/>
      <c r="I65" s="526">
        <v>369</v>
      </c>
    </row>
    <row r="66" spans="1:9" ht="14">
      <c r="A66" s="692"/>
      <c r="B66" s="768"/>
      <c r="C66" s="407" t="s">
        <v>4046</v>
      </c>
      <c r="D66" s="408" t="s">
        <v>3284</v>
      </c>
      <c r="E66" s="409">
        <v>600</v>
      </c>
      <c r="F66" s="758"/>
      <c r="G66" s="499">
        <v>1008</v>
      </c>
      <c r="H66" s="500"/>
      <c r="I66" s="526">
        <v>384</v>
      </c>
    </row>
    <row r="67" spans="1:9" ht="14">
      <c r="A67" s="692"/>
      <c r="B67" s="768"/>
      <c r="C67" s="407" t="s">
        <v>4047</v>
      </c>
      <c r="D67" s="408" t="s">
        <v>3285</v>
      </c>
      <c r="E67" s="411">
        <v>700</v>
      </c>
      <c r="F67" s="758"/>
      <c r="G67" s="499">
        <v>1242</v>
      </c>
      <c r="H67" s="500"/>
      <c r="I67" s="526">
        <v>472</v>
      </c>
    </row>
    <row r="68" spans="1:9" ht="14">
      <c r="A68" s="692"/>
      <c r="B68" s="768"/>
      <c r="C68" s="407" t="s">
        <v>4048</v>
      </c>
      <c r="D68" s="408" t="s">
        <v>3286</v>
      </c>
      <c r="E68" s="409">
        <v>800</v>
      </c>
      <c r="F68" s="758"/>
      <c r="G68" s="499">
        <v>1450</v>
      </c>
      <c r="H68" s="500"/>
      <c r="I68" s="526">
        <v>551</v>
      </c>
    </row>
    <row r="69" spans="1:9" ht="14">
      <c r="A69" s="692"/>
      <c r="B69" s="768"/>
      <c r="C69" s="407" t="s">
        <v>4049</v>
      </c>
      <c r="D69" s="408" t="s">
        <v>3287</v>
      </c>
      <c r="E69" s="409">
        <v>1000</v>
      </c>
      <c r="F69" s="758"/>
      <c r="G69" s="499">
        <v>1502</v>
      </c>
      <c r="H69" s="500"/>
      <c r="I69" s="526">
        <v>571</v>
      </c>
    </row>
    <row r="70" spans="1:9" ht="14">
      <c r="A70" s="692"/>
      <c r="B70" s="768"/>
      <c r="C70" s="407" t="s">
        <v>4050</v>
      </c>
      <c r="D70" s="408" t="s">
        <v>3288</v>
      </c>
      <c r="E70" s="409">
        <v>1200</v>
      </c>
      <c r="F70" s="758"/>
      <c r="G70" s="499">
        <v>1677</v>
      </c>
      <c r="H70" s="500"/>
      <c r="I70" s="526">
        <v>638</v>
      </c>
    </row>
    <row r="71" spans="1:9" ht="14">
      <c r="A71" s="692"/>
      <c r="B71" s="769"/>
      <c r="C71" s="407" t="s">
        <v>4051</v>
      </c>
      <c r="D71" s="408" t="s">
        <v>3289</v>
      </c>
      <c r="E71" s="409">
        <v>1400</v>
      </c>
      <c r="F71" s="758"/>
      <c r="G71" s="499">
        <v>1872</v>
      </c>
      <c r="H71" s="500"/>
      <c r="I71" s="526">
        <v>712</v>
      </c>
    </row>
    <row r="72" spans="1:9" ht="24.5" customHeight="1">
      <c r="A72" s="767" t="s">
        <v>3230</v>
      </c>
      <c r="B72" s="767" t="s">
        <v>3290</v>
      </c>
      <c r="C72" s="398" t="s">
        <v>3885</v>
      </c>
      <c r="D72" s="408">
        <v>22026212000011</v>
      </c>
      <c r="E72" s="412">
        <v>300</v>
      </c>
      <c r="F72" s="760" t="s">
        <v>4058</v>
      </c>
      <c r="G72" s="499">
        <v>1099</v>
      </c>
      <c r="H72" s="500"/>
      <c r="I72" s="526">
        <v>418</v>
      </c>
    </row>
    <row r="73" spans="1:9" ht="24.5" customHeight="1">
      <c r="A73" s="768"/>
      <c r="B73" s="768"/>
      <c r="C73" s="398" t="s">
        <v>3886</v>
      </c>
      <c r="D73" s="408">
        <v>22026212000048</v>
      </c>
      <c r="E73" s="412">
        <v>400</v>
      </c>
      <c r="F73" s="763"/>
      <c r="G73" s="499">
        <v>1183</v>
      </c>
      <c r="H73" s="500"/>
      <c r="I73" s="526">
        <v>450</v>
      </c>
    </row>
    <row r="74" spans="1:9" ht="24.5" customHeight="1">
      <c r="A74" s="768"/>
      <c r="B74" s="769"/>
      <c r="C74" s="398" t="s">
        <v>3887</v>
      </c>
      <c r="D74" s="408">
        <v>22026212000042</v>
      </c>
      <c r="E74" s="412">
        <v>500</v>
      </c>
      <c r="F74" s="764"/>
      <c r="G74" s="499">
        <v>1268</v>
      </c>
      <c r="H74" s="500"/>
      <c r="I74" s="526">
        <v>482</v>
      </c>
    </row>
    <row r="75" spans="1:9" ht="14">
      <c r="A75" s="768"/>
      <c r="B75" s="402"/>
      <c r="C75" s="398" t="s">
        <v>1653</v>
      </c>
      <c r="D75" s="404" t="s">
        <v>558</v>
      </c>
      <c r="E75" s="404"/>
      <c r="F75" s="417" t="s">
        <v>3211</v>
      </c>
      <c r="G75" s="499">
        <v>143</v>
      </c>
      <c r="H75" s="500"/>
      <c r="I75" s="526">
        <v>55</v>
      </c>
    </row>
    <row r="76" spans="1:9" ht="14">
      <c r="A76" s="768"/>
      <c r="B76" s="402"/>
      <c r="C76" s="405">
        <v>12126200000215</v>
      </c>
      <c r="D76" s="406">
        <v>12126200000215</v>
      </c>
      <c r="E76" s="404"/>
      <c r="F76" s="418" t="s">
        <v>3227</v>
      </c>
      <c r="G76" s="499">
        <v>26</v>
      </c>
      <c r="H76" s="500"/>
      <c r="I76" s="526">
        <v>10</v>
      </c>
    </row>
    <row r="77" spans="1:9" ht="14">
      <c r="A77" s="768"/>
      <c r="B77" s="767" t="s">
        <v>3291</v>
      </c>
      <c r="C77" s="398" t="s">
        <v>3888</v>
      </c>
      <c r="D77" s="408">
        <v>22026212000005</v>
      </c>
      <c r="E77" s="412">
        <v>600</v>
      </c>
      <c r="F77" s="760" t="s">
        <v>4059</v>
      </c>
      <c r="G77" s="499">
        <v>1352</v>
      </c>
      <c r="H77" s="500"/>
      <c r="I77" s="526">
        <v>514</v>
      </c>
    </row>
    <row r="78" spans="1:9" ht="14">
      <c r="A78" s="768"/>
      <c r="B78" s="768"/>
      <c r="C78" s="398" t="s">
        <v>3889</v>
      </c>
      <c r="D78" s="408">
        <v>22026212000060</v>
      </c>
      <c r="E78" s="412">
        <v>750</v>
      </c>
      <c r="F78" s="763"/>
      <c r="G78" s="499">
        <v>1541</v>
      </c>
      <c r="H78" s="500"/>
      <c r="I78" s="526">
        <v>586</v>
      </c>
    </row>
    <row r="79" spans="1:9" ht="14">
      <c r="A79" s="768"/>
      <c r="B79" s="768"/>
      <c r="C79" s="398" t="s">
        <v>3890</v>
      </c>
      <c r="D79" s="408">
        <v>22026212000029</v>
      </c>
      <c r="E79" s="412">
        <v>850</v>
      </c>
      <c r="F79" s="763"/>
      <c r="G79" s="499">
        <v>1658</v>
      </c>
      <c r="H79" s="500"/>
      <c r="I79" s="526">
        <v>631</v>
      </c>
    </row>
    <row r="80" spans="1:9" ht="14">
      <c r="A80" s="768"/>
      <c r="B80" s="768"/>
      <c r="C80" s="398" t="s">
        <v>3891</v>
      </c>
      <c r="D80" s="408">
        <v>22026212000019</v>
      </c>
      <c r="E80" s="412">
        <v>950</v>
      </c>
      <c r="F80" s="763"/>
      <c r="G80" s="499">
        <v>1729</v>
      </c>
      <c r="H80" s="500"/>
      <c r="I80" s="526">
        <v>658</v>
      </c>
    </row>
    <row r="81" spans="1:9" ht="14">
      <c r="A81" s="768"/>
      <c r="B81" s="768"/>
      <c r="C81" s="398" t="s">
        <v>3892</v>
      </c>
      <c r="D81" s="408">
        <v>22026212000058</v>
      </c>
      <c r="E81" s="412">
        <v>1200</v>
      </c>
      <c r="F81" s="763"/>
      <c r="G81" s="499">
        <v>1859</v>
      </c>
      <c r="H81" s="500"/>
      <c r="I81" s="526">
        <v>707</v>
      </c>
    </row>
    <row r="82" spans="1:9" ht="14">
      <c r="A82" s="768"/>
      <c r="B82" s="768"/>
      <c r="C82" s="398" t="s">
        <v>3893</v>
      </c>
      <c r="D82" s="408">
        <v>22026212000062</v>
      </c>
      <c r="E82" s="412">
        <v>1500</v>
      </c>
      <c r="F82" s="764"/>
      <c r="G82" s="499">
        <v>1944</v>
      </c>
      <c r="H82" s="500"/>
      <c r="I82" s="526">
        <v>739</v>
      </c>
    </row>
    <row r="83" spans="1:9" ht="14">
      <c r="A83" s="768"/>
      <c r="B83" s="769"/>
      <c r="C83" s="398" t="s">
        <v>1673</v>
      </c>
      <c r="D83" s="404" t="s">
        <v>1675</v>
      </c>
      <c r="E83" s="404"/>
      <c r="F83" s="417" t="s">
        <v>3220</v>
      </c>
      <c r="G83" s="499">
        <v>286</v>
      </c>
      <c r="H83" s="500"/>
      <c r="I83" s="526">
        <v>109</v>
      </c>
    </row>
    <row r="84" spans="1:9" ht="14">
      <c r="A84" s="778" t="s">
        <v>3133</v>
      </c>
      <c r="B84" s="767" t="s">
        <v>3292</v>
      </c>
      <c r="C84" s="413" t="s">
        <v>4032</v>
      </c>
      <c r="D84" s="408">
        <v>22026211000661</v>
      </c>
      <c r="E84" s="412">
        <v>200</v>
      </c>
      <c r="F84" s="757" t="s">
        <v>4031</v>
      </c>
      <c r="G84" s="499">
        <v>793</v>
      </c>
      <c r="H84" s="500"/>
      <c r="I84" s="526">
        <v>302</v>
      </c>
    </row>
    <row r="85" spans="1:9" ht="14">
      <c r="A85" s="778"/>
      <c r="B85" s="768"/>
      <c r="C85" s="413" t="s">
        <v>4033</v>
      </c>
      <c r="D85" s="408">
        <v>22026211000662</v>
      </c>
      <c r="E85" s="412">
        <v>300</v>
      </c>
      <c r="F85" s="758"/>
      <c r="G85" s="499">
        <v>871</v>
      </c>
      <c r="H85" s="500"/>
      <c r="I85" s="526">
        <v>331</v>
      </c>
    </row>
    <row r="86" spans="1:9" ht="14">
      <c r="A86" s="778"/>
      <c r="B86" s="768"/>
      <c r="C86" s="413" t="s">
        <v>4034</v>
      </c>
      <c r="D86" s="408">
        <v>22026211000667</v>
      </c>
      <c r="E86" s="412">
        <v>400</v>
      </c>
      <c r="F86" s="758"/>
      <c r="G86" s="499">
        <v>930</v>
      </c>
      <c r="H86" s="500"/>
      <c r="I86" s="526">
        <v>354</v>
      </c>
    </row>
    <row r="87" spans="1:9" ht="14">
      <c r="A87" s="778"/>
      <c r="B87" s="768"/>
      <c r="C87" s="413" t="s">
        <v>4035</v>
      </c>
      <c r="D87" s="408">
        <v>22026211000660</v>
      </c>
      <c r="E87" s="412">
        <v>500</v>
      </c>
      <c r="F87" s="758"/>
      <c r="G87" s="499">
        <v>962</v>
      </c>
      <c r="H87" s="500"/>
      <c r="I87" s="526">
        <v>366</v>
      </c>
    </row>
    <row r="88" spans="1:9" ht="14">
      <c r="A88" s="778"/>
      <c r="B88" s="768"/>
      <c r="C88" s="413" t="s">
        <v>4036</v>
      </c>
      <c r="D88" s="408">
        <v>22026211000668</v>
      </c>
      <c r="E88" s="412">
        <v>600</v>
      </c>
      <c r="F88" s="758"/>
      <c r="G88" s="499">
        <v>1001</v>
      </c>
      <c r="H88" s="500"/>
      <c r="I88" s="526">
        <v>381</v>
      </c>
    </row>
    <row r="89" spans="1:9" ht="14">
      <c r="A89" s="778"/>
      <c r="B89" s="768"/>
      <c r="C89" s="413" t="s">
        <v>4037</v>
      </c>
      <c r="D89" s="408">
        <v>22026211000669</v>
      </c>
      <c r="E89" s="412">
        <v>700</v>
      </c>
      <c r="F89" s="758"/>
      <c r="G89" s="499">
        <v>1196</v>
      </c>
      <c r="H89" s="500"/>
      <c r="I89" s="526">
        <v>455</v>
      </c>
    </row>
    <row r="90" spans="1:9" ht="14">
      <c r="A90" s="778"/>
      <c r="B90" s="768"/>
      <c r="C90" s="413" t="s">
        <v>4038</v>
      </c>
      <c r="D90" s="408">
        <v>22026211000666</v>
      </c>
      <c r="E90" s="412">
        <v>800</v>
      </c>
      <c r="F90" s="758"/>
      <c r="G90" s="499">
        <v>1482</v>
      </c>
      <c r="H90" s="500"/>
      <c r="I90" s="526">
        <v>564</v>
      </c>
    </row>
    <row r="91" spans="1:9" ht="14">
      <c r="A91" s="778"/>
      <c r="B91" s="768"/>
      <c r="C91" s="413" t="s">
        <v>4039</v>
      </c>
      <c r="D91" s="408">
        <v>22026211000663</v>
      </c>
      <c r="E91" s="412">
        <v>1000</v>
      </c>
      <c r="F91" s="758"/>
      <c r="G91" s="499">
        <v>1521</v>
      </c>
      <c r="H91" s="500"/>
      <c r="I91" s="526">
        <v>578</v>
      </c>
    </row>
    <row r="92" spans="1:9" ht="14">
      <c r="A92" s="778"/>
      <c r="B92" s="768"/>
      <c r="C92" s="413" t="s">
        <v>4040</v>
      </c>
      <c r="D92" s="408">
        <v>22026211000665</v>
      </c>
      <c r="E92" s="412">
        <v>1200</v>
      </c>
      <c r="F92" s="758"/>
      <c r="G92" s="499">
        <v>1703</v>
      </c>
      <c r="H92" s="500"/>
      <c r="I92" s="526">
        <v>648</v>
      </c>
    </row>
    <row r="93" spans="1:9" ht="14">
      <c r="A93" s="778"/>
      <c r="B93" s="769"/>
      <c r="C93" s="413" t="s">
        <v>4041</v>
      </c>
      <c r="D93" s="408">
        <v>22026211000664</v>
      </c>
      <c r="E93" s="412">
        <v>1400</v>
      </c>
      <c r="F93" s="759"/>
      <c r="G93" s="499">
        <v>1872</v>
      </c>
      <c r="H93" s="500"/>
      <c r="I93" s="526">
        <v>712</v>
      </c>
    </row>
    <row r="94" spans="1:9" ht="25" customHeight="1">
      <c r="A94" s="767" t="s">
        <v>3293</v>
      </c>
      <c r="B94" s="767" t="s">
        <v>3262</v>
      </c>
      <c r="C94" s="398" t="s">
        <v>3905</v>
      </c>
      <c r="D94" s="408" t="s">
        <v>3824</v>
      </c>
      <c r="E94" s="412">
        <v>150</v>
      </c>
      <c r="F94" s="757" t="s">
        <v>4060</v>
      </c>
      <c r="G94" s="499">
        <v>1008</v>
      </c>
      <c r="H94" s="500"/>
      <c r="I94" s="526">
        <v>384</v>
      </c>
    </row>
    <row r="95" spans="1:9" ht="25" customHeight="1">
      <c r="A95" s="768"/>
      <c r="B95" s="768"/>
      <c r="C95" s="398" t="s">
        <v>3906</v>
      </c>
      <c r="D95" s="408" t="s">
        <v>3825</v>
      </c>
      <c r="E95" s="412">
        <v>250</v>
      </c>
      <c r="F95" s="758"/>
      <c r="G95" s="499">
        <v>1131</v>
      </c>
      <c r="H95" s="500"/>
      <c r="I95" s="526">
        <v>430</v>
      </c>
    </row>
    <row r="96" spans="1:9" ht="25" customHeight="1">
      <c r="A96" s="768"/>
      <c r="B96" s="768"/>
      <c r="C96" s="398" t="s">
        <v>3907</v>
      </c>
      <c r="D96" s="408" t="s">
        <v>3826</v>
      </c>
      <c r="E96" s="412">
        <v>350</v>
      </c>
      <c r="F96" s="758"/>
      <c r="G96" s="499">
        <v>1235</v>
      </c>
      <c r="H96" s="500"/>
      <c r="I96" s="526">
        <v>470</v>
      </c>
    </row>
    <row r="97" spans="1:9" ht="25" customHeight="1">
      <c r="A97" s="768"/>
      <c r="B97" s="768"/>
      <c r="C97" s="398" t="s">
        <v>3908</v>
      </c>
      <c r="D97" s="408" t="s">
        <v>3827</v>
      </c>
      <c r="E97" s="412">
        <v>500</v>
      </c>
      <c r="F97" s="758"/>
      <c r="G97" s="499">
        <v>1268</v>
      </c>
      <c r="H97" s="500"/>
      <c r="I97" s="526">
        <v>482</v>
      </c>
    </row>
    <row r="98" spans="1:9" ht="25" customHeight="1">
      <c r="A98" s="768"/>
      <c r="B98" s="768"/>
      <c r="C98" s="398" t="s">
        <v>3909</v>
      </c>
      <c r="D98" s="408" t="s">
        <v>3828</v>
      </c>
      <c r="E98" s="412">
        <v>700</v>
      </c>
      <c r="F98" s="758"/>
      <c r="G98" s="499">
        <v>1430</v>
      </c>
      <c r="H98" s="500"/>
      <c r="I98" s="526">
        <v>544</v>
      </c>
    </row>
    <row r="99" spans="1:9" ht="25" customHeight="1">
      <c r="A99" s="769"/>
      <c r="B99" s="769"/>
      <c r="C99" s="398" t="s">
        <v>3910</v>
      </c>
      <c r="D99" s="408" t="s">
        <v>3829</v>
      </c>
      <c r="E99" s="412">
        <v>800</v>
      </c>
      <c r="F99" s="759"/>
      <c r="G99" s="499">
        <v>1619</v>
      </c>
      <c r="H99" s="500"/>
      <c r="I99" s="526">
        <v>616</v>
      </c>
    </row>
    <row r="100" spans="1:9" ht="26">
      <c r="A100" s="767" t="s">
        <v>3293</v>
      </c>
      <c r="B100" s="767" t="s">
        <v>3262</v>
      </c>
      <c r="C100" s="398" t="s">
        <v>2223</v>
      </c>
      <c r="D100" s="408" t="s">
        <v>3894</v>
      </c>
      <c r="E100" s="414">
        <v>150</v>
      </c>
      <c r="F100" s="760" t="s">
        <v>4061</v>
      </c>
      <c r="G100" s="499">
        <v>1008</v>
      </c>
      <c r="H100" s="500"/>
      <c r="I100" s="526">
        <v>384</v>
      </c>
    </row>
    <row r="101" spans="1:9" ht="26">
      <c r="A101" s="768"/>
      <c r="B101" s="768"/>
      <c r="C101" s="398" t="s">
        <v>2225</v>
      </c>
      <c r="D101" s="408" t="s">
        <v>3895</v>
      </c>
      <c r="E101" s="414">
        <v>250</v>
      </c>
      <c r="F101" s="758"/>
      <c r="G101" s="499">
        <v>1131</v>
      </c>
      <c r="H101" s="500"/>
      <c r="I101" s="526">
        <v>430</v>
      </c>
    </row>
    <row r="102" spans="1:9" ht="26">
      <c r="A102" s="768"/>
      <c r="B102" s="768"/>
      <c r="C102" s="398" t="s">
        <v>2226</v>
      </c>
      <c r="D102" s="408" t="s">
        <v>3896</v>
      </c>
      <c r="E102" s="414">
        <v>350</v>
      </c>
      <c r="F102" s="758"/>
      <c r="G102" s="499">
        <v>1235</v>
      </c>
      <c r="H102" s="500"/>
      <c r="I102" s="526">
        <v>470</v>
      </c>
    </row>
    <row r="103" spans="1:9" ht="26">
      <c r="A103" s="768"/>
      <c r="B103" s="768"/>
      <c r="C103" s="398" t="s">
        <v>2227</v>
      </c>
      <c r="D103" s="408" t="s">
        <v>3897</v>
      </c>
      <c r="E103" s="414">
        <v>500</v>
      </c>
      <c r="F103" s="758"/>
      <c r="G103" s="499">
        <v>1268</v>
      </c>
      <c r="H103" s="500"/>
      <c r="I103" s="526">
        <v>482</v>
      </c>
    </row>
    <row r="104" spans="1:9" ht="26">
      <c r="A104" s="768"/>
      <c r="B104" s="768"/>
      <c r="C104" s="398" t="s">
        <v>2228</v>
      </c>
      <c r="D104" s="408" t="s">
        <v>3898</v>
      </c>
      <c r="E104" s="414">
        <v>700</v>
      </c>
      <c r="F104" s="758"/>
      <c r="G104" s="499">
        <v>1430</v>
      </c>
      <c r="H104" s="500"/>
      <c r="I104" s="526">
        <v>544</v>
      </c>
    </row>
    <row r="105" spans="1:9" ht="26">
      <c r="A105" s="769"/>
      <c r="B105" s="769"/>
      <c r="C105" s="398" t="s">
        <v>2229</v>
      </c>
      <c r="D105" s="408" t="s">
        <v>3899</v>
      </c>
      <c r="E105" s="414">
        <v>800</v>
      </c>
      <c r="F105" s="758"/>
      <c r="G105" s="499">
        <v>1619</v>
      </c>
      <c r="H105" s="500"/>
      <c r="I105" s="526">
        <v>616</v>
      </c>
    </row>
    <row r="106" spans="1:9" ht="14">
      <c r="A106" s="767" t="s">
        <v>3293</v>
      </c>
      <c r="B106" s="767" t="s">
        <v>3262</v>
      </c>
      <c r="C106" s="398" t="s">
        <v>3911</v>
      </c>
      <c r="D106" s="408" t="s">
        <v>3824</v>
      </c>
      <c r="E106" s="414">
        <v>150</v>
      </c>
      <c r="F106" s="758"/>
      <c r="G106" s="499">
        <v>988</v>
      </c>
      <c r="H106" s="500"/>
      <c r="I106" s="526">
        <v>376</v>
      </c>
    </row>
    <row r="107" spans="1:9" ht="14">
      <c r="A107" s="768"/>
      <c r="B107" s="768"/>
      <c r="C107" s="398" t="s">
        <v>3912</v>
      </c>
      <c r="D107" s="408" t="s">
        <v>3825</v>
      </c>
      <c r="E107" s="414">
        <v>250</v>
      </c>
      <c r="F107" s="758"/>
      <c r="G107" s="499">
        <v>1112</v>
      </c>
      <c r="H107" s="500"/>
      <c r="I107" s="526">
        <v>423</v>
      </c>
    </row>
    <row r="108" spans="1:9" ht="14">
      <c r="A108" s="768"/>
      <c r="B108" s="768"/>
      <c r="C108" s="398" t="s">
        <v>3913</v>
      </c>
      <c r="D108" s="408" t="s">
        <v>3826</v>
      </c>
      <c r="E108" s="414">
        <v>350</v>
      </c>
      <c r="F108" s="758"/>
      <c r="G108" s="499">
        <v>1203</v>
      </c>
      <c r="H108" s="500"/>
      <c r="I108" s="526">
        <v>458</v>
      </c>
    </row>
    <row r="109" spans="1:9" ht="14">
      <c r="A109" s="768"/>
      <c r="B109" s="768"/>
      <c r="C109" s="398" t="s">
        <v>3914</v>
      </c>
      <c r="D109" s="408" t="s">
        <v>3827</v>
      </c>
      <c r="E109" s="414">
        <v>500</v>
      </c>
      <c r="F109" s="758"/>
      <c r="G109" s="499">
        <v>1248</v>
      </c>
      <c r="H109" s="500"/>
      <c r="I109" s="526">
        <v>475</v>
      </c>
    </row>
    <row r="110" spans="1:9" ht="14">
      <c r="A110" s="768"/>
      <c r="B110" s="768"/>
      <c r="C110" s="398" t="s">
        <v>3915</v>
      </c>
      <c r="D110" s="408" t="s">
        <v>3828</v>
      </c>
      <c r="E110" s="414">
        <v>700</v>
      </c>
      <c r="F110" s="758"/>
      <c r="G110" s="499">
        <v>1411</v>
      </c>
      <c r="H110" s="500"/>
      <c r="I110" s="526">
        <v>537</v>
      </c>
    </row>
    <row r="111" spans="1:9" ht="14">
      <c r="A111" s="769"/>
      <c r="B111" s="769"/>
      <c r="C111" s="398" t="s">
        <v>3916</v>
      </c>
      <c r="D111" s="408" t="s">
        <v>3829</v>
      </c>
      <c r="E111" s="414">
        <v>800</v>
      </c>
      <c r="F111" s="759"/>
      <c r="G111" s="499">
        <v>1586</v>
      </c>
      <c r="H111" s="500"/>
      <c r="I111" s="526">
        <v>603</v>
      </c>
    </row>
    <row r="112" spans="1:9" ht="29.5" customHeight="1">
      <c r="A112" s="767" t="s">
        <v>3294</v>
      </c>
      <c r="B112" s="410"/>
      <c r="C112" s="403" t="s">
        <v>3295</v>
      </c>
      <c r="D112" s="404" t="s">
        <v>3296</v>
      </c>
      <c r="E112" s="404"/>
      <c r="F112" s="417" t="s">
        <v>3297</v>
      </c>
      <c r="G112" s="499">
        <v>1164</v>
      </c>
      <c r="H112" s="500"/>
      <c r="I112" s="526">
        <v>443</v>
      </c>
    </row>
    <row r="113" spans="1:9" ht="21.5" customHeight="1">
      <c r="A113" s="768"/>
      <c r="B113" s="410"/>
      <c r="C113" s="403" t="s">
        <v>3298</v>
      </c>
      <c r="D113" s="404" t="s">
        <v>3299</v>
      </c>
      <c r="E113" s="404"/>
      <c r="F113" s="417" t="s">
        <v>3300</v>
      </c>
      <c r="G113" s="499">
        <v>657</v>
      </c>
      <c r="H113" s="500"/>
      <c r="I113" s="526">
        <v>250</v>
      </c>
    </row>
    <row r="114" spans="1:9" ht="26">
      <c r="A114" s="768"/>
      <c r="B114" s="415"/>
      <c r="C114" s="398" t="s">
        <v>3301</v>
      </c>
      <c r="D114" s="408">
        <v>12126200000673</v>
      </c>
      <c r="E114" s="409"/>
      <c r="F114" s="417" t="s">
        <v>3302</v>
      </c>
      <c r="G114" s="499">
        <v>39</v>
      </c>
      <c r="H114" s="500"/>
      <c r="I114" s="526">
        <v>15</v>
      </c>
    </row>
    <row r="115" spans="1:9" ht="14">
      <c r="A115" s="768"/>
      <c r="B115" s="415"/>
      <c r="C115" s="398" t="s">
        <v>3303</v>
      </c>
      <c r="D115" s="408">
        <v>15426200000796</v>
      </c>
      <c r="E115" s="409"/>
      <c r="F115" s="417" t="s">
        <v>3304</v>
      </c>
      <c r="G115" s="499">
        <v>618</v>
      </c>
      <c r="H115" s="500"/>
      <c r="I115" s="526">
        <v>235</v>
      </c>
    </row>
    <row r="116" spans="1:9" ht="14">
      <c r="A116" s="769"/>
      <c r="B116" s="415"/>
      <c r="C116" s="398" t="s">
        <v>3305</v>
      </c>
      <c r="D116" s="408">
        <v>15426200000792</v>
      </c>
      <c r="E116" s="409"/>
      <c r="F116" s="417" t="s">
        <v>3306</v>
      </c>
      <c r="G116" s="499">
        <v>605</v>
      </c>
      <c r="H116" s="500"/>
      <c r="I116" s="526">
        <v>230</v>
      </c>
    </row>
    <row r="117" spans="1:9">
      <c r="A117" s="281"/>
      <c r="B117" s="282"/>
      <c r="F117" s="284"/>
    </row>
    <row r="118" spans="1:9">
      <c r="A118" s="281"/>
      <c r="B118" s="282"/>
      <c r="F118" s="284"/>
    </row>
    <row r="119" spans="1:9">
      <c r="A119" s="270"/>
    </row>
    <row r="120" spans="1:9">
      <c r="A120" s="285"/>
      <c r="B120" s="270"/>
      <c r="C120" s="280"/>
      <c r="D120" s="270"/>
      <c r="E120" s="270"/>
      <c r="F120" s="270"/>
    </row>
    <row r="121" spans="1:9">
      <c r="A121" s="270"/>
      <c r="B121" s="270"/>
      <c r="C121" s="280"/>
      <c r="D121" s="270"/>
      <c r="E121" s="270"/>
      <c r="F121" s="270"/>
    </row>
    <row r="122" spans="1:9">
      <c r="A122" s="270"/>
      <c r="B122" s="270"/>
      <c r="C122" s="280"/>
      <c r="D122" s="270"/>
      <c r="E122" s="270"/>
      <c r="F122" s="270"/>
    </row>
  </sheetData>
  <mergeCells count="46">
    <mergeCell ref="A112:A116"/>
    <mergeCell ref="B1:B2"/>
    <mergeCell ref="B3:B5"/>
    <mergeCell ref="B8:B13"/>
    <mergeCell ref="B15:B17"/>
    <mergeCell ref="B21:B25"/>
    <mergeCell ref="B26:B31"/>
    <mergeCell ref="B32:B37"/>
    <mergeCell ref="B77:B83"/>
    <mergeCell ref="B84:B93"/>
    <mergeCell ref="A72:A83"/>
    <mergeCell ref="A84:A93"/>
    <mergeCell ref="A94:A99"/>
    <mergeCell ref="A100:A105"/>
    <mergeCell ref="A106:A111"/>
    <mergeCell ref="B72:B74"/>
    <mergeCell ref="A62:A71"/>
    <mergeCell ref="E1:E2"/>
    <mergeCell ref="B106:B111"/>
    <mergeCell ref="C1:C2"/>
    <mergeCell ref="B38:B43"/>
    <mergeCell ref="B44:B49"/>
    <mergeCell ref="B50:B55"/>
    <mergeCell ref="B56:B61"/>
    <mergeCell ref="B62:B71"/>
    <mergeCell ref="D1:D2"/>
    <mergeCell ref="A1:A2"/>
    <mergeCell ref="A3:A17"/>
    <mergeCell ref="A21:A25"/>
    <mergeCell ref="A26:A61"/>
    <mergeCell ref="B94:B99"/>
    <mergeCell ref="B100:B105"/>
    <mergeCell ref="F94:F99"/>
    <mergeCell ref="F100:F111"/>
    <mergeCell ref="F1:F2"/>
    <mergeCell ref="F3:F5"/>
    <mergeCell ref="F8:F13"/>
    <mergeCell ref="F15:F17"/>
    <mergeCell ref="F84:F93"/>
    <mergeCell ref="F26:F37"/>
    <mergeCell ref="F38:F49"/>
    <mergeCell ref="F50:F61"/>
    <mergeCell ref="F62:F71"/>
    <mergeCell ref="F21:F25"/>
    <mergeCell ref="F72:F74"/>
    <mergeCell ref="F77:F82"/>
  </mergeCells>
  <phoneticPr fontId="46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5"/>
  <sheetViews>
    <sheetView showGridLines="0" zoomScaleNormal="100" workbookViewId="0">
      <pane ySplit="2" topLeftCell="A12" activePane="bottomLeft" state="frozen"/>
      <selection pane="bottomLeft" activeCell="I30" sqref="I30"/>
    </sheetView>
  </sheetViews>
  <sheetFormatPr baseColWidth="10" defaultColWidth="9" defaultRowHeight="14"/>
  <cols>
    <col min="1" max="1" width="8.5" style="243" customWidth="1"/>
    <col min="2" max="2" width="21.1640625" style="243" bestFit="1" customWidth="1"/>
    <col min="3" max="3" width="24.6640625" style="243" customWidth="1"/>
    <col min="4" max="4" width="22.6640625" style="243" customWidth="1"/>
    <col min="5" max="5" width="31.6640625" style="243" customWidth="1"/>
    <col min="6" max="6" width="7.1640625" style="243" bestFit="1" customWidth="1"/>
    <col min="7" max="7" width="9" style="243"/>
    <col min="8" max="8" width="1.83203125" style="243" customWidth="1"/>
    <col min="9" max="11" width="9" style="243" customWidth="1"/>
    <col min="12" max="16384" width="9" style="243"/>
  </cols>
  <sheetData>
    <row r="1" spans="1:9">
      <c r="G1" s="501"/>
      <c r="H1" s="502"/>
      <c r="I1" s="525">
        <v>0.38</v>
      </c>
    </row>
    <row r="2" spans="1:9" s="322" customFormat="1" ht="42" customHeight="1">
      <c r="A2" s="319" t="s">
        <v>2236</v>
      </c>
      <c r="B2" s="367" t="s">
        <v>3078</v>
      </c>
      <c r="C2" s="367" t="s">
        <v>3900</v>
      </c>
      <c r="D2" s="367" t="s">
        <v>2237</v>
      </c>
      <c r="E2" s="319" t="s">
        <v>2238</v>
      </c>
      <c r="F2" s="319" t="s">
        <v>3307</v>
      </c>
      <c r="G2" s="492" t="s">
        <v>4077</v>
      </c>
      <c r="H2" s="489"/>
      <c r="I2" s="492" t="s">
        <v>4078</v>
      </c>
    </row>
    <row r="3" spans="1:9" ht="172.5" customHeight="1">
      <c r="A3" s="391" t="s">
        <v>3308</v>
      </c>
      <c r="B3" s="419" t="s">
        <v>3309</v>
      </c>
      <c r="C3" s="388" t="s">
        <v>971</v>
      </c>
      <c r="D3" s="419"/>
      <c r="E3" s="391" t="s">
        <v>4063</v>
      </c>
      <c r="F3" s="378">
        <v>180</v>
      </c>
      <c r="G3" s="499">
        <v>65984</v>
      </c>
      <c r="H3" s="500"/>
      <c r="I3" s="526">
        <v>25074</v>
      </c>
    </row>
    <row r="4" spans="1:9" ht="195">
      <c r="A4" s="391" t="s">
        <v>3859</v>
      </c>
      <c r="B4" s="419" t="s">
        <v>3310</v>
      </c>
      <c r="C4" s="388" t="s">
        <v>968</v>
      </c>
      <c r="D4" s="419">
        <v>22027120000044</v>
      </c>
      <c r="E4" s="391" t="s">
        <v>4064</v>
      </c>
      <c r="F4" s="378">
        <v>185</v>
      </c>
      <c r="G4" s="499">
        <v>58916</v>
      </c>
      <c r="H4" s="500"/>
      <c r="I4" s="526">
        <v>22389</v>
      </c>
    </row>
    <row r="5" spans="1:9" ht="15">
      <c r="A5" s="389"/>
      <c r="B5" s="423"/>
      <c r="C5" s="388" t="s">
        <v>3311</v>
      </c>
      <c r="D5" s="419">
        <v>22027120000067</v>
      </c>
      <c r="E5" s="425"/>
      <c r="F5" s="378">
        <v>35</v>
      </c>
      <c r="G5" s="499">
        <v>13794</v>
      </c>
      <c r="H5" s="500"/>
      <c r="I5" s="526">
        <v>5242</v>
      </c>
    </row>
    <row r="6" spans="1:9" ht="15">
      <c r="A6" s="389"/>
      <c r="B6" s="423"/>
      <c r="C6" s="388" t="s">
        <v>984</v>
      </c>
      <c r="D6" s="419">
        <v>22027120000030</v>
      </c>
      <c r="E6" s="425"/>
      <c r="F6" s="378">
        <v>65</v>
      </c>
      <c r="G6" s="499">
        <v>22154</v>
      </c>
      <c r="H6" s="500"/>
      <c r="I6" s="526">
        <v>8419</v>
      </c>
    </row>
    <row r="7" spans="1:9" ht="15">
      <c r="A7" s="389"/>
      <c r="B7" s="423"/>
      <c r="C7" s="388" t="s">
        <v>987</v>
      </c>
      <c r="D7" s="419">
        <v>22027120000003</v>
      </c>
      <c r="E7" s="425"/>
      <c r="F7" s="378">
        <v>80</v>
      </c>
      <c r="G7" s="499">
        <v>30036</v>
      </c>
      <c r="H7" s="500"/>
      <c r="I7" s="526">
        <v>11414</v>
      </c>
    </row>
    <row r="8" spans="1:9" ht="15">
      <c r="A8" s="790" t="s">
        <v>3312</v>
      </c>
      <c r="B8" s="786" t="s">
        <v>4082</v>
      </c>
      <c r="C8" s="388" t="s">
        <v>3313</v>
      </c>
      <c r="D8" s="420" t="s">
        <v>3314</v>
      </c>
      <c r="E8" s="779" t="s">
        <v>4065</v>
      </c>
      <c r="F8" s="378">
        <v>65</v>
      </c>
      <c r="G8" s="499">
        <v>21049</v>
      </c>
      <c r="H8" s="500"/>
      <c r="I8" s="526">
        <v>7999</v>
      </c>
    </row>
    <row r="9" spans="1:9" ht="26" customHeight="1">
      <c r="A9" s="792"/>
      <c r="B9" s="787"/>
      <c r="C9" s="388" t="s">
        <v>3315</v>
      </c>
      <c r="D9" s="420" t="s">
        <v>3316</v>
      </c>
      <c r="E9" s="780"/>
      <c r="F9" s="378">
        <v>130</v>
      </c>
      <c r="G9" s="499">
        <v>37945</v>
      </c>
      <c r="H9" s="500"/>
      <c r="I9" s="526">
        <v>14420</v>
      </c>
    </row>
    <row r="10" spans="1:9" ht="16" thickBot="1">
      <c r="A10" s="788" t="s">
        <v>3317</v>
      </c>
      <c r="B10" s="788" t="s">
        <v>3317</v>
      </c>
      <c r="C10" s="388" t="s">
        <v>3318</v>
      </c>
      <c r="D10" s="419">
        <v>22027120000458</v>
      </c>
      <c r="E10" s="781" t="s">
        <v>4066</v>
      </c>
      <c r="F10" s="391">
        <v>130</v>
      </c>
      <c r="G10" s="533">
        <v>39732</v>
      </c>
      <c r="H10" s="500"/>
      <c r="I10" s="556">
        <v>15099</v>
      </c>
    </row>
    <row r="11" spans="1:9" ht="26" customHeight="1" thickBot="1">
      <c r="A11" s="789"/>
      <c r="B11" s="789"/>
      <c r="C11" s="554" t="s">
        <v>3319</v>
      </c>
      <c r="D11" s="553">
        <v>22027120000478</v>
      </c>
      <c r="E11" s="782"/>
      <c r="F11" s="558">
        <v>260</v>
      </c>
      <c r="G11" s="551">
        <v>78177</v>
      </c>
      <c r="H11" s="552"/>
      <c r="I11" s="559">
        <v>29708</v>
      </c>
    </row>
    <row r="12" spans="1:9" ht="60">
      <c r="A12" s="389"/>
      <c r="B12" s="388" t="s">
        <v>3324</v>
      </c>
      <c r="C12" s="388" t="s">
        <v>993</v>
      </c>
      <c r="D12" s="419"/>
      <c r="E12" s="378" t="s">
        <v>3325</v>
      </c>
      <c r="F12" s="390"/>
      <c r="G12" s="534">
        <v>363</v>
      </c>
      <c r="H12" s="500"/>
      <c r="I12" s="557">
        <v>138</v>
      </c>
    </row>
    <row r="13" spans="1:9" ht="30">
      <c r="A13" s="389"/>
      <c r="B13" s="388" t="s">
        <v>3324</v>
      </c>
      <c r="C13" s="388" t="s">
        <v>996</v>
      </c>
      <c r="D13" s="419"/>
      <c r="E13" s="378" t="s">
        <v>3326</v>
      </c>
      <c r="F13" s="378"/>
      <c r="G13" s="499">
        <v>501</v>
      </c>
      <c r="H13" s="500"/>
      <c r="I13" s="526">
        <v>191</v>
      </c>
    </row>
    <row r="14" spans="1:9" ht="15">
      <c r="A14" s="389"/>
      <c r="B14" s="388" t="s">
        <v>3324</v>
      </c>
      <c r="C14" s="388" t="s">
        <v>3327</v>
      </c>
      <c r="D14" s="419" t="s">
        <v>3328</v>
      </c>
      <c r="E14" s="378"/>
      <c r="F14" s="378"/>
      <c r="G14" s="499">
        <v>451</v>
      </c>
      <c r="H14" s="500"/>
      <c r="I14" s="526">
        <v>172</v>
      </c>
    </row>
    <row r="15" spans="1:9" ht="15">
      <c r="A15" s="389"/>
      <c r="B15" s="388" t="s">
        <v>3324</v>
      </c>
      <c r="C15" s="388" t="s">
        <v>3329</v>
      </c>
      <c r="D15" s="419" t="s">
        <v>3330</v>
      </c>
      <c r="E15" s="378"/>
      <c r="F15" s="378"/>
      <c r="G15" s="499">
        <v>578</v>
      </c>
      <c r="H15" s="500"/>
      <c r="I15" s="526">
        <v>220</v>
      </c>
    </row>
    <row r="16" spans="1:9" ht="16" thickBot="1">
      <c r="A16" s="390"/>
      <c r="B16" s="388" t="s">
        <v>3331</v>
      </c>
      <c r="C16" s="388" t="s">
        <v>998</v>
      </c>
      <c r="D16" s="419"/>
      <c r="E16" s="378" t="s">
        <v>3332</v>
      </c>
      <c r="F16" s="378" t="s">
        <v>2241</v>
      </c>
      <c r="G16" s="499">
        <v>677</v>
      </c>
      <c r="H16" s="500"/>
      <c r="I16" s="526">
        <v>258</v>
      </c>
    </row>
    <row r="17" spans="1:9" ht="31" hidden="1" thickBot="1">
      <c r="A17" s="779" t="s">
        <v>3333</v>
      </c>
      <c r="B17" s="388" t="s">
        <v>3324</v>
      </c>
      <c r="C17" s="388" t="s">
        <v>1014</v>
      </c>
      <c r="D17" s="419" t="s">
        <v>1015</v>
      </c>
      <c r="E17" s="378" t="s">
        <v>3326</v>
      </c>
      <c r="F17" s="378" t="s">
        <v>2241</v>
      </c>
      <c r="G17" s="499">
        <v>501</v>
      </c>
      <c r="H17" s="500"/>
      <c r="I17" s="526">
        <v>191</v>
      </c>
    </row>
    <row r="18" spans="1:9" ht="16" hidden="1" thickBot="1">
      <c r="A18" s="783"/>
      <c r="B18" s="790" t="s">
        <v>3334</v>
      </c>
      <c r="C18" s="388" t="s">
        <v>3335</v>
      </c>
      <c r="D18" s="419" t="s">
        <v>3336</v>
      </c>
      <c r="E18" s="779" t="s">
        <v>3337</v>
      </c>
      <c r="F18" s="378">
        <v>5</v>
      </c>
      <c r="G18" s="499">
        <v>5632</v>
      </c>
      <c r="H18" s="500"/>
      <c r="I18" s="526">
        <v>2141</v>
      </c>
    </row>
    <row r="19" spans="1:9" ht="16" hidden="1" thickBot="1">
      <c r="A19" s="783"/>
      <c r="B19" s="791"/>
      <c r="C19" s="388" t="s">
        <v>3338</v>
      </c>
      <c r="D19" s="419">
        <v>22025314000591</v>
      </c>
      <c r="E19" s="783"/>
      <c r="F19" s="378">
        <v>7</v>
      </c>
      <c r="G19" s="499">
        <v>6243</v>
      </c>
      <c r="H19" s="500"/>
      <c r="I19" s="526">
        <v>2373</v>
      </c>
    </row>
    <row r="20" spans="1:9" ht="16" hidden="1" thickBot="1">
      <c r="A20" s="783"/>
      <c r="B20" s="791"/>
      <c r="C20" s="388" t="s">
        <v>3339</v>
      </c>
      <c r="D20" s="419" t="s">
        <v>3340</v>
      </c>
      <c r="E20" s="783"/>
      <c r="F20" s="378">
        <v>9</v>
      </c>
      <c r="G20" s="499">
        <v>7926</v>
      </c>
      <c r="H20" s="500"/>
      <c r="I20" s="526">
        <v>3012</v>
      </c>
    </row>
    <row r="21" spans="1:9" ht="16" hidden="1" thickBot="1">
      <c r="A21" s="783"/>
      <c r="B21" s="791"/>
      <c r="C21" s="388" t="s">
        <v>3341</v>
      </c>
      <c r="D21" s="419" t="s">
        <v>3830</v>
      </c>
      <c r="E21" s="783"/>
      <c r="F21" s="378">
        <v>12</v>
      </c>
      <c r="G21" s="499">
        <v>8778</v>
      </c>
      <c r="H21" s="500"/>
      <c r="I21" s="526">
        <v>3336</v>
      </c>
    </row>
    <row r="22" spans="1:9" ht="16" hidden="1" thickBot="1">
      <c r="A22" s="783"/>
      <c r="B22" s="791"/>
      <c r="C22" s="388" t="s">
        <v>3342</v>
      </c>
      <c r="D22" s="419" t="s">
        <v>3831</v>
      </c>
      <c r="E22" s="783"/>
      <c r="F22" s="378">
        <v>14</v>
      </c>
      <c r="G22" s="499">
        <v>9312</v>
      </c>
      <c r="H22" s="500"/>
      <c r="I22" s="526">
        <v>3539</v>
      </c>
    </row>
    <row r="23" spans="1:9" ht="16" hidden="1" thickBot="1">
      <c r="A23" s="783"/>
      <c r="B23" s="791"/>
      <c r="C23" s="388" t="s">
        <v>3343</v>
      </c>
      <c r="D23" s="419" t="s">
        <v>3832</v>
      </c>
      <c r="E23" s="783"/>
      <c r="F23" s="378">
        <v>16</v>
      </c>
      <c r="G23" s="499">
        <v>9818</v>
      </c>
      <c r="H23" s="500"/>
      <c r="I23" s="526">
        <v>3731</v>
      </c>
    </row>
    <row r="24" spans="1:9" ht="16" hidden="1" thickBot="1">
      <c r="A24" s="783"/>
      <c r="B24" s="791"/>
      <c r="C24" s="388" t="s">
        <v>3344</v>
      </c>
      <c r="D24" s="419">
        <v>22025314000991</v>
      </c>
      <c r="E24" s="780"/>
      <c r="F24" s="378">
        <v>18</v>
      </c>
      <c r="G24" s="499">
        <v>10192</v>
      </c>
      <c r="H24" s="500"/>
      <c r="I24" s="526">
        <v>3873</v>
      </c>
    </row>
    <row r="25" spans="1:9" ht="16" hidden="1" thickBot="1">
      <c r="A25" s="783"/>
      <c r="B25" s="791"/>
      <c r="C25" s="388" t="s">
        <v>3345</v>
      </c>
      <c r="D25" s="419" t="s">
        <v>3346</v>
      </c>
      <c r="E25" s="779" t="s">
        <v>3347</v>
      </c>
      <c r="F25" s="378">
        <v>12</v>
      </c>
      <c r="G25" s="499">
        <v>10192</v>
      </c>
      <c r="H25" s="500"/>
      <c r="I25" s="526">
        <v>3873</v>
      </c>
    </row>
    <row r="26" spans="1:9" ht="16" hidden="1" thickBot="1">
      <c r="A26" s="783"/>
      <c r="B26" s="791"/>
      <c r="C26" s="388" t="s">
        <v>3348</v>
      </c>
      <c r="D26" s="419" t="s">
        <v>3349</v>
      </c>
      <c r="E26" s="783"/>
      <c r="F26" s="378">
        <v>14</v>
      </c>
      <c r="G26" s="499">
        <v>10269</v>
      </c>
      <c r="H26" s="500"/>
      <c r="I26" s="526">
        <v>3903</v>
      </c>
    </row>
    <row r="27" spans="1:9" ht="16" hidden="1" thickBot="1">
      <c r="A27" s="783"/>
      <c r="B27" s="792"/>
      <c r="C27" s="388" t="s">
        <v>3350</v>
      </c>
      <c r="D27" s="419" t="s">
        <v>3351</v>
      </c>
      <c r="E27" s="780"/>
      <c r="F27" s="391">
        <v>16</v>
      </c>
      <c r="G27" s="533">
        <v>11248</v>
      </c>
      <c r="H27" s="500"/>
      <c r="I27" s="556">
        <v>4275</v>
      </c>
    </row>
    <row r="28" spans="1:9" ht="39" customHeight="1" thickBot="1">
      <c r="A28" s="781" t="s">
        <v>3352</v>
      </c>
      <c r="B28" s="536"/>
      <c r="C28" s="555" t="s">
        <v>3320</v>
      </c>
      <c r="D28" s="550">
        <v>22027120000398</v>
      </c>
      <c r="E28" s="560" t="s">
        <v>3353</v>
      </c>
      <c r="F28" s="558">
        <v>75</v>
      </c>
      <c r="G28" s="551">
        <v>21681</v>
      </c>
      <c r="H28" s="552"/>
      <c r="I28" s="559">
        <v>8239</v>
      </c>
    </row>
    <row r="29" spans="1:9" ht="46" thickBot="1">
      <c r="A29" s="784"/>
      <c r="B29" s="378"/>
      <c r="C29" s="378" t="s">
        <v>3321</v>
      </c>
      <c r="D29" s="388">
        <v>22027120000378</v>
      </c>
      <c r="E29" s="378" t="s">
        <v>3354</v>
      </c>
      <c r="F29" s="389">
        <v>90</v>
      </c>
      <c r="G29" s="535">
        <v>30938</v>
      </c>
      <c r="H29" s="500"/>
      <c r="I29" s="561">
        <v>11757</v>
      </c>
    </row>
    <row r="30" spans="1:9" ht="44.5" customHeight="1" thickBot="1">
      <c r="A30" s="784"/>
      <c r="B30" s="562" t="s">
        <v>4081</v>
      </c>
      <c r="C30" s="555" t="s">
        <v>3322</v>
      </c>
      <c r="D30" s="550">
        <v>22027120000418</v>
      </c>
      <c r="E30" s="560" t="s">
        <v>3355</v>
      </c>
      <c r="F30" s="558">
        <v>140</v>
      </c>
      <c r="G30" s="551">
        <v>40926</v>
      </c>
      <c r="H30" s="552"/>
      <c r="I30" s="559">
        <v>15552</v>
      </c>
    </row>
    <row r="31" spans="1:9" ht="30">
      <c r="A31" s="672"/>
      <c r="B31" s="378"/>
      <c r="C31" s="378" t="s">
        <v>3323</v>
      </c>
      <c r="D31" s="388">
        <v>22027120000438</v>
      </c>
      <c r="E31" s="378" t="s">
        <v>3356</v>
      </c>
      <c r="F31" s="390">
        <v>180</v>
      </c>
      <c r="G31" s="534">
        <v>88022</v>
      </c>
      <c r="H31" s="500"/>
      <c r="I31" s="557">
        <v>33449</v>
      </c>
    </row>
    <row r="32" spans="1:9" ht="15">
      <c r="A32" s="779" t="s">
        <v>3637</v>
      </c>
      <c r="B32" s="378"/>
      <c r="C32" s="378" t="s">
        <v>3357</v>
      </c>
      <c r="D32" s="388">
        <v>22027120000398</v>
      </c>
      <c r="E32" s="378" t="s">
        <v>3358</v>
      </c>
      <c r="F32" s="378">
        <v>75</v>
      </c>
      <c r="G32" s="499">
        <v>26560</v>
      </c>
      <c r="H32" s="500"/>
      <c r="I32" s="526">
        <v>10093</v>
      </c>
    </row>
    <row r="33" spans="1:9" ht="15">
      <c r="A33" s="783"/>
      <c r="B33" s="378"/>
      <c r="C33" s="378" t="s">
        <v>3359</v>
      </c>
      <c r="D33" s="388">
        <v>22027120000378</v>
      </c>
      <c r="E33" s="378" t="s">
        <v>3360</v>
      </c>
      <c r="F33" s="378">
        <v>90</v>
      </c>
      <c r="G33" s="499">
        <v>37719</v>
      </c>
      <c r="H33" s="500"/>
      <c r="I33" s="526">
        <v>14334</v>
      </c>
    </row>
    <row r="34" spans="1:9" ht="15">
      <c r="A34" s="783"/>
      <c r="B34" s="378"/>
      <c r="C34" s="378" t="s">
        <v>3361</v>
      </c>
      <c r="D34" s="388">
        <v>22027120000418</v>
      </c>
      <c r="E34" s="378" t="s">
        <v>3362</v>
      </c>
      <c r="F34" s="378">
        <v>140</v>
      </c>
      <c r="G34" s="499">
        <v>50424</v>
      </c>
      <c r="H34" s="500"/>
      <c r="I34" s="526">
        <v>19162</v>
      </c>
    </row>
    <row r="35" spans="1:9" ht="39" customHeight="1">
      <c r="A35" s="780"/>
      <c r="B35" s="378"/>
      <c r="C35" s="378" t="s">
        <v>3363</v>
      </c>
      <c r="D35" s="388">
        <v>22027120000438</v>
      </c>
      <c r="E35" s="378" t="s">
        <v>3362</v>
      </c>
      <c r="F35" s="378">
        <v>180</v>
      </c>
      <c r="G35" s="499">
        <v>102498</v>
      </c>
      <c r="H35" s="500"/>
      <c r="I35" s="526">
        <v>38950</v>
      </c>
    </row>
    <row r="36" spans="1:9" ht="15">
      <c r="A36" s="424"/>
      <c r="B36" s="378"/>
      <c r="C36" s="378" t="s">
        <v>3364</v>
      </c>
      <c r="D36" s="388" t="s">
        <v>3365</v>
      </c>
      <c r="E36" s="378"/>
      <c r="F36" s="378"/>
      <c r="G36" s="499">
        <v>7832</v>
      </c>
      <c r="H36" s="500"/>
      <c r="I36" s="526">
        <v>2977</v>
      </c>
    </row>
    <row r="37" spans="1:9" ht="30">
      <c r="A37" s="785" t="s">
        <v>3366</v>
      </c>
      <c r="B37" s="421" t="s">
        <v>3367</v>
      </c>
      <c r="C37" s="378" t="s">
        <v>3368</v>
      </c>
      <c r="D37" s="422" t="s">
        <v>3833</v>
      </c>
      <c r="E37" s="779" t="s">
        <v>3369</v>
      </c>
      <c r="F37" s="393">
        <v>50</v>
      </c>
      <c r="G37" s="499">
        <v>31433</v>
      </c>
      <c r="H37" s="500"/>
      <c r="I37" s="526">
        <v>11945</v>
      </c>
    </row>
    <row r="38" spans="1:9" ht="15">
      <c r="A38" s="785"/>
      <c r="B38" s="421" t="s">
        <v>3367</v>
      </c>
      <c r="C38" s="378" t="s">
        <v>3370</v>
      </c>
      <c r="D38" s="422">
        <v>22025314000671</v>
      </c>
      <c r="E38" s="783"/>
      <c r="F38" s="393">
        <v>65</v>
      </c>
      <c r="G38" s="499">
        <v>32709</v>
      </c>
      <c r="H38" s="500"/>
      <c r="I38" s="526">
        <v>12430</v>
      </c>
    </row>
    <row r="39" spans="1:9" ht="30">
      <c r="A39" s="785"/>
      <c r="B39" s="421" t="s">
        <v>3367</v>
      </c>
      <c r="C39" s="378" t="s">
        <v>3371</v>
      </c>
      <c r="D39" s="422" t="s">
        <v>3834</v>
      </c>
      <c r="E39" s="783"/>
      <c r="F39" s="393">
        <v>75</v>
      </c>
      <c r="G39" s="499">
        <v>33908</v>
      </c>
      <c r="H39" s="500"/>
      <c r="I39" s="526">
        <v>12886</v>
      </c>
    </row>
    <row r="40" spans="1:9" ht="15">
      <c r="A40" s="785"/>
      <c r="B40" s="421" t="s">
        <v>3367</v>
      </c>
      <c r="C40" s="378" t="s">
        <v>3372</v>
      </c>
      <c r="D40" s="422">
        <v>22025314000691</v>
      </c>
      <c r="E40" s="783"/>
      <c r="F40" s="393">
        <v>110</v>
      </c>
      <c r="G40" s="499">
        <v>53686</v>
      </c>
      <c r="H40" s="500"/>
      <c r="I40" s="526">
        <v>20401</v>
      </c>
    </row>
    <row r="41" spans="1:9" ht="30">
      <c r="A41" s="785"/>
      <c r="B41" s="421" t="s">
        <v>3367</v>
      </c>
      <c r="C41" s="378" t="s">
        <v>3373</v>
      </c>
      <c r="D41" s="422" t="s">
        <v>3835</v>
      </c>
      <c r="E41" s="783"/>
      <c r="F41" s="393">
        <v>140</v>
      </c>
      <c r="G41" s="499">
        <v>55319</v>
      </c>
      <c r="H41" s="500"/>
      <c r="I41" s="526">
        <v>21022</v>
      </c>
    </row>
    <row r="42" spans="1:9" ht="39" customHeight="1">
      <c r="A42" s="785"/>
      <c r="B42" s="421" t="s">
        <v>3367</v>
      </c>
      <c r="C42" s="378" t="s">
        <v>3374</v>
      </c>
      <c r="D42" s="422" t="s">
        <v>3836</v>
      </c>
      <c r="E42" s="783"/>
      <c r="F42" s="393">
        <v>50</v>
      </c>
      <c r="G42" s="499">
        <v>40722</v>
      </c>
      <c r="H42" s="500"/>
      <c r="I42" s="526">
        <v>15475</v>
      </c>
    </row>
    <row r="43" spans="1:9" ht="15">
      <c r="A43" s="785"/>
      <c r="B43" s="421" t="s">
        <v>3367</v>
      </c>
      <c r="C43" s="378" t="s">
        <v>3375</v>
      </c>
      <c r="D43" s="422">
        <v>22025314000671</v>
      </c>
      <c r="E43" s="783"/>
      <c r="F43" s="393">
        <v>65</v>
      </c>
      <c r="G43" s="499">
        <v>42240</v>
      </c>
      <c r="H43" s="500"/>
      <c r="I43" s="526">
        <v>16052</v>
      </c>
    </row>
    <row r="44" spans="1:9" ht="15">
      <c r="A44" s="785"/>
      <c r="B44" s="421" t="s">
        <v>3367</v>
      </c>
      <c r="C44" s="378" t="s">
        <v>3376</v>
      </c>
      <c r="D44" s="422" t="s">
        <v>3836</v>
      </c>
      <c r="E44" s="783"/>
      <c r="F44" s="393">
        <v>75</v>
      </c>
      <c r="G44" s="499">
        <v>44396</v>
      </c>
      <c r="H44" s="500"/>
      <c r="I44" s="526">
        <v>16871</v>
      </c>
    </row>
    <row r="45" spans="1:9" ht="15">
      <c r="A45" s="785"/>
      <c r="B45" s="421" t="s">
        <v>3367</v>
      </c>
      <c r="C45" s="378" t="s">
        <v>3377</v>
      </c>
      <c r="D45" s="422">
        <v>22025314000691</v>
      </c>
      <c r="E45" s="783"/>
      <c r="F45" s="393">
        <v>110</v>
      </c>
      <c r="G45" s="499">
        <v>63333</v>
      </c>
      <c r="H45" s="500"/>
      <c r="I45" s="526">
        <v>24067</v>
      </c>
    </row>
    <row r="46" spans="1:9" ht="15">
      <c r="A46" s="785"/>
      <c r="B46" s="421" t="s">
        <v>3367</v>
      </c>
      <c r="C46" s="378" t="s">
        <v>3378</v>
      </c>
      <c r="D46" s="422" t="s">
        <v>3837</v>
      </c>
      <c r="E46" s="780"/>
      <c r="F46" s="393">
        <v>140</v>
      </c>
      <c r="G46" s="499">
        <v>65830</v>
      </c>
      <c r="H46" s="500"/>
      <c r="I46" s="526">
        <v>25016</v>
      </c>
    </row>
    <row r="47" spans="1:9" ht="65" customHeight="1">
      <c r="A47" s="250"/>
      <c r="B47" s="251"/>
      <c r="D47" s="248"/>
      <c r="F47" s="252"/>
    </row>
    <row r="48" spans="1:9">
      <c r="A48" s="250"/>
    </row>
    <row r="49" spans="1:1">
      <c r="A49" s="247"/>
    </row>
    <row r="50" spans="1:1">
      <c r="A50" s="247"/>
    </row>
    <row r="51" spans="1:1">
      <c r="A51" s="247"/>
    </row>
    <row r="52" spans="1:1">
      <c r="A52" s="247"/>
    </row>
    <row r="53" spans="1:1">
      <c r="A53" s="247"/>
    </row>
    <row r="54" spans="1:1">
      <c r="A54" s="247"/>
    </row>
    <row r="55" spans="1:1">
      <c r="A55" s="247"/>
    </row>
  </sheetData>
  <mergeCells count="14">
    <mergeCell ref="A28:A31"/>
    <mergeCell ref="A32:A35"/>
    <mergeCell ref="A37:A46"/>
    <mergeCell ref="B8:B9"/>
    <mergeCell ref="B10:B11"/>
    <mergeCell ref="B18:B27"/>
    <mergeCell ref="A8:A9"/>
    <mergeCell ref="A10:A11"/>
    <mergeCell ref="A17:A27"/>
    <mergeCell ref="E8:E9"/>
    <mergeCell ref="E10:E11"/>
    <mergeCell ref="E37:E46"/>
    <mergeCell ref="E18:E24"/>
    <mergeCell ref="E25:E27"/>
  </mergeCells>
  <phoneticPr fontId="46" type="noConversion"/>
  <printOptions horizontalCentered="1"/>
  <pageMargins left="0.23622047244094499" right="0.15748031496063" top="0.27559055118110198" bottom="0.23622047244094499" header="0.23622047244094499" footer="0.31496062992126"/>
  <pageSetup paperSize="9" scale="6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102"/>
  <sheetViews>
    <sheetView tabSelected="1" zoomScale="115" zoomScaleNormal="115" workbookViewId="0">
      <pane ySplit="2" topLeftCell="A3" activePane="bottomLeft" state="frozen"/>
      <selection pane="bottomLeft" activeCell="L30" sqref="L30"/>
    </sheetView>
  </sheetViews>
  <sheetFormatPr baseColWidth="10" defaultColWidth="9" defaultRowHeight="13"/>
  <cols>
    <col min="1" max="1" width="11.6640625" style="67" customWidth="1"/>
    <col min="2" max="2" width="19.5" style="67" customWidth="1"/>
    <col min="3" max="3" width="22" style="67" customWidth="1"/>
    <col min="4" max="4" width="22.1640625" style="67" customWidth="1"/>
    <col min="5" max="5" width="21.6640625" style="67" customWidth="1"/>
    <col min="6" max="7" width="9" style="67"/>
    <col min="8" max="8" width="1.6640625" style="67" customWidth="1"/>
    <col min="9" max="9" width="9" style="67" customWidth="1"/>
    <col min="10" max="11" width="2.33203125" style="67" customWidth="1"/>
    <col min="12" max="16384" width="9" style="67"/>
  </cols>
  <sheetData>
    <row r="1" spans="1:9" ht="14">
      <c r="G1" s="501"/>
      <c r="H1" s="502"/>
      <c r="I1" s="525">
        <v>0.38</v>
      </c>
    </row>
    <row r="2" spans="1:9" ht="46" customHeight="1">
      <c r="A2" s="358" t="s">
        <v>2236</v>
      </c>
      <c r="B2" s="358" t="s">
        <v>3078</v>
      </c>
      <c r="C2" s="358" t="s">
        <v>3901</v>
      </c>
      <c r="D2" s="368" t="s">
        <v>3379</v>
      </c>
      <c r="E2" s="358" t="s">
        <v>2238</v>
      </c>
      <c r="F2" s="358" t="s">
        <v>3380</v>
      </c>
      <c r="G2" s="492" t="s">
        <v>4077</v>
      </c>
      <c r="H2" s="489"/>
      <c r="I2" s="492" t="s">
        <v>4078</v>
      </c>
    </row>
    <row r="3" spans="1:9" ht="15" customHeight="1">
      <c r="A3" s="809" t="s">
        <v>3381</v>
      </c>
      <c r="B3" s="732" t="s">
        <v>3382</v>
      </c>
      <c r="C3" s="572" t="s">
        <v>3383</v>
      </c>
      <c r="D3" s="573" t="s">
        <v>3384</v>
      </c>
      <c r="E3" s="732" t="s">
        <v>3385</v>
      </c>
      <c r="F3" s="51">
        <v>4</v>
      </c>
      <c r="G3" s="499">
        <v>7861</v>
      </c>
      <c r="H3" s="500"/>
      <c r="I3" s="526">
        <v>2988</v>
      </c>
    </row>
    <row r="4" spans="1:9" ht="14">
      <c r="A4" s="810"/>
      <c r="B4" s="733"/>
      <c r="C4" s="572" t="s">
        <v>3386</v>
      </c>
      <c r="D4" s="573" t="s">
        <v>3387</v>
      </c>
      <c r="E4" s="733"/>
      <c r="F4" s="51">
        <v>6</v>
      </c>
      <c r="G4" s="499">
        <v>8094</v>
      </c>
      <c r="H4" s="500"/>
      <c r="I4" s="526">
        <v>3076</v>
      </c>
    </row>
    <row r="5" spans="1:9" ht="14">
      <c r="A5" s="810"/>
      <c r="B5" s="733"/>
      <c r="C5" s="572" t="s">
        <v>3388</v>
      </c>
      <c r="D5" s="573" t="s">
        <v>3389</v>
      </c>
      <c r="E5" s="733"/>
      <c r="F5" s="51">
        <v>8</v>
      </c>
      <c r="G5" s="499">
        <v>8944</v>
      </c>
      <c r="H5" s="500"/>
      <c r="I5" s="526">
        <v>3399</v>
      </c>
    </row>
    <row r="6" spans="1:9" ht="14">
      <c r="A6" s="810"/>
      <c r="B6" s="733"/>
      <c r="C6" s="572" t="s">
        <v>3390</v>
      </c>
      <c r="D6" s="573" t="s">
        <v>3391</v>
      </c>
      <c r="E6" s="733"/>
      <c r="F6" s="51">
        <v>10</v>
      </c>
      <c r="G6" s="499">
        <v>9058</v>
      </c>
      <c r="H6" s="500"/>
      <c r="I6" s="526">
        <v>3443</v>
      </c>
    </row>
    <row r="7" spans="1:9" ht="14">
      <c r="A7" s="810"/>
      <c r="B7" s="733"/>
      <c r="C7" s="572" t="s">
        <v>3392</v>
      </c>
      <c r="D7" s="573" t="s">
        <v>3393</v>
      </c>
      <c r="E7" s="733"/>
      <c r="F7" s="51">
        <v>12</v>
      </c>
      <c r="G7" s="499">
        <v>11748</v>
      </c>
      <c r="H7" s="500"/>
      <c r="I7" s="526">
        <v>4465</v>
      </c>
    </row>
    <row r="8" spans="1:9" ht="14">
      <c r="A8" s="810"/>
      <c r="B8" s="733"/>
      <c r="C8" s="572" t="s">
        <v>3394</v>
      </c>
      <c r="D8" s="573" t="s">
        <v>3395</v>
      </c>
      <c r="E8" s="733"/>
      <c r="F8" s="51">
        <v>14</v>
      </c>
      <c r="G8" s="499">
        <v>11902</v>
      </c>
      <c r="H8" s="500"/>
      <c r="I8" s="526">
        <v>4523</v>
      </c>
    </row>
    <row r="9" spans="1:9" ht="11.75" customHeight="1">
      <c r="A9" s="810"/>
      <c r="B9" s="733"/>
      <c r="C9" s="52" t="s">
        <v>3396</v>
      </c>
      <c r="D9" s="53" t="s">
        <v>3397</v>
      </c>
      <c r="E9" s="734"/>
      <c r="F9" s="52">
        <v>16</v>
      </c>
      <c r="G9" s="499">
        <v>12096</v>
      </c>
      <c r="H9" s="500"/>
      <c r="I9" s="526">
        <v>4597</v>
      </c>
    </row>
    <row r="10" spans="1:9" ht="15" customHeight="1">
      <c r="A10" s="810"/>
      <c r="B10" s="733"/>
      <c r="C10" s="52" t="s">
        <v>3398</v>
      </c>
      <c r="D10" s="53" t="s">
        <v>3399</v>
      </c>
      <c r="E10" s="732" t="s">
        <v>3400</v>
      </c>
      <c r="F10" s="52">
        <v>12</v>
      </c>
      <c r="G10" s="499">
        <v>12193</v>
      </c>
      <c r="H10" s="500"/>
      <c r="I10" s="526">
        <v>4634</v>
      </c>
    </row>
    <row r="11" spans="1:9" ht="14">
      <c r="A11" s="810"/>
      <c r="B11" s="733"/>
      <c r="C11" s="52" t="s">
        <v>3401</v>
      </c>
      <c r="D11" s="53" t="s">
        <v>3402</v>
      </c>
      <c r="E11" s="733"/>
      <c r="F11" s="52">
        <v>14</v>
      </c>
      <c r="G11" s="499">
        <v>12466</v>
      </c>
      <c r="H11" s="500"/>
      <c r="I11" s="526">
        <v>4738</v>
      </c>
    </row>
    <row r="12" spans="1:9" ht="11.75" customHeight="1">
      <c r="A12" s="810"/>
      <c r="B12" s="733"/>
      <c r="C12" s="52" t="s">
        <v>3403</v>
      </c>
      <c r="D12" s="53" t="s">
        <v>3404</v>
      </c>
      <c r="E12" s="733"/>
      <c r="F12" s="52">
        <v>16</v>
      </c>
      <c r="G12" s="499">
        <v>12854</v>
      </c>
      <c r="H12" s="500"/>
      <c r="I12" s="526">
        <v>4885</v>
      </c>
    </row>
    <row r="13" spans="1:9" ht="14">
      <c r="A13" s="810"/>
      <c r="B13" s="733"/>
      <c r="C13" s="52" t="s">
        <v>3405</v>
      </c>
      <c r="D13" s="54" t="s">
        <v>3406</v>
      </c>
      <c r="E13" s="733"/>
      <c r="F13" s="51">
        <v>18</v>
      </c>
      <c r="G13" s="499">
        <v>16263</v>
      </c>
      <c r="H13" s="500"/>
      <c r="I13" s="526">
        <v>6180</v>
      </c>
    </row>
    <row r="14" spans="1:9" ht="14">
      <c r="A14" s="810"/>
      <c r="B14" s="733"/>
      <c r="C14" s="52" t="s">
        <v>3407</v>
      </c>
      <c r="D14" s="54" t="s">
        <v>3408</v>
      </c>
      <c r="E14" s="733"/>
      <c r="F14" s="51">
        <v>22</v>
      </c>
      <c r="G14" s="499">
        <v>16701</v>
      </c>
      <c r="H14" s="500"/>
      <c r="I14" s="526">
        <v>6347</v>
      </c>
    </row>
    <row r="15" spans="1:9" ht="14">
      <c r="A15" s="810"/>
      <c r="B15" s="733"/>
      <c r="C15" s="52" t="s">
        <v>3409</v>
      </c>
      <c r="D15" s="54" t="s">
        <v>3410</v>
      </c>
      <c r="E15" s="733"/>
      <c r="F15" s="51">
        <v>26</v>
      </c>
      <c r="G15" s="499">
        <v>16986</v>
      </c>
      <c r="H15" s="500"/>
      <c r="I15" s="526">
        <v>6455</v>
      </c>
    </row>
    <row r="16" spans="1:9" ht="14">
      <c r="A16" s="810"/>
      <c r="B16" s="734"/>
      <c r="C16" s="52" t="s">
        <v>3411</v>
      </c>
      <c r="D16" s="54" t="s">
        <v>3412</v>
      </c>
      <c r="E16" s="734"/>
      <c r="F16" s="51">
        <v>30</v>
      </c>
      <c r="G16" s="499">
        <v>17271</v>
      </c>
      <c r="H16" s="500"/>
      <c r="I16" s="526">
        <v>6563</v>
      </c>
    </row>
    <row r="17" spans="1:9" ht="15" customHeight="1">
      <c r="A17" s="810"/>
      <c r="B17" s="800" t="s">
        <v>3413</v>
      </c>
      <c r="C17" s="52" t="s">
        <v>3414</v>
      </c>
      <c r="D17" s="54" t="s">
        <v>3415</v>
      </c>
      <c r="E17" s="732" t="s">
        <v>3385</v>
      </c>
      <c r="F17" s="51">
        <v>4</v>
      </c>
      <c r="G17" s="499">
        <v>3723</v>
      </c>
      <c r="H17" s="500"/>
      <c r="I17" s="526">
        <v>1415</v>
      </c>
    </row>
    <row r="18" spans="1:9" ht="14">
      <c r="A18" s="810"/>
      <c r="B18" s="801"/>
      <c r="C18" s="52" t="s">
        <v>3416</v>
      </c>
      <c r="D18" s="54" t="s">
        <v>3417</v>
      </c>
      <c r="E18" s="733"/>
      <c r="F18" s="51">
        <v>6</v>
      </c>
      <c r="G18" s="499">
        <v>3728</v>
      </c>
      <c r="H18" s="500"/>
      <c r="I18" s="526">
        <v>1417</v>
      </c>
    </row>
    <row r="19" spans="1:9" ht="11.75" customHeight="1">
      <c r="A19" s="810"/>
      <c r="B19" s="801"/>
      <c r="C19" s="52" t="s">
        <v>3418</v>
      </c>
      <c r="D19" s="54" t="s">
        <v>3419</v>
      </c>
      <c r="E19" s="733"/>
      <c r="F19" s="51">
        <v>8</v>
      </c>
      <c r="G19" s="499">
        <v>4247</v>
      </c>
      <c r="H19" s="500"/>
      <c r="I19" s="526">
        <v>1614</v>
      </c>
    </row>
    <row r="20" spans="1:9" ht="14">
      <c r="A20" s="810"/>
      <c r="B20" s="801"/>
      <c r="C20" s="52" t="s">
        <v>3420</v>
      </c>
      <c r="D20" s="54" t="s">
        <v>3421</v>
      </c>
      <c r="E20" s="733"/>
      <c r="F20" s="51">
        <v>10</v>
      </c>
      <c r="G20" s="499">
        <v>4515</v>
      </c>
      <c r="H20" s="500"/>
      <c r="I20" s="526">
        <v>1716</v>
      </c>
    </row>
    <row r="21" spans="1:9" ht="14">
      <c r="A21" s="810"/>
      <c r="B21" s="801"/>
      <c r="C21" s="52" t="s">
        <v>3422</v>
      </c>
      <c r="D21" s="54" t="s">
        <v>3423</v>
      </c>
      <c r="E21" s="733"/>
      <c r="F21" s="51">
        <v>12</v>
      </c>
      <c r="G21" s="499">
        <v>6584</v>
      </c>
      <c r="H21" s="500"/>
      <c r="I21" s="526">
        <v>2502</v>
      </c>
    </row>
    <row r="22" spans="1:9" ht="14">
      <c r="A22" s="810"/>
      <c r="B22" s="801"/>
      <c r="C22" s="52" t="s">
        <v>3424</v>
      </c>
      <c r="D22" s="54" t="s">
        <v>3425</v>
      </c>
      <c r="E22" s="733"/>
      <c r="F22" s="51">
        <v>14</v>
      </c>
      <c r="G22" s="499">
        <v>6886</v>
      </c>
      <c r="H22" s="500"/>
      <c r="I22" s="526">
        <v>2617</v>
      </c>
    </row>
    <row r="23" spans="1:9" ht="14">
      <c r="A23" s="810"/>
      <c r="B23" s="801"/>
      <c r="C23" s="52" t="s">
        <v>3426</v>
      </c>
      <c r="D23" s="54" t="s">
        <v>3838</v>
      </c>
      <c r="E23" s="734"/>
      <c r="F23" s="51">
        <v>16</v>
      </c>
      <c r="G23" s="499">
        <v>7046</v>
      </c>
      <c r="H23" s="500"/>
      <c r="I23" s="526">
        <v>2678</v>
      </c>
    </row>
    <row r="24" spans="1:9" ht="15" customHeight="1">
      <c r="A24" s="810"/>
      <c r="B24" s="801"/>
      <c r="C24" s="52" t="s">
        <v>3427</v>
      </c>
      <c r="D24" s="54" t="s">
        <v>3428</v>
      </c>
      <c r="E24" s="800" t="s">
        <v>3400</v>
      </c>
      <c r="F24" s="51">
        <v>12</v>
      </c>
      <c r="G24" s="499">
        <v>7314</v>
      </c>
      <c r="H24" s="500"/>
      <c r="I24" s="526">
        <v>2780</v>
      </c>
    </row>
    <row r="25" spans="1:9" ht="14">
      <c r="A25" s="810"/>
      <c r="B25" s="801"/>
      <c r="C25" s="52" t="s">
        <v>3429</v>
      </c>
      <c r="D25" s="54" t="s">
        <v>3430</v>
      </c>
      <c r="E25" s="801"/>
      <c r="F25" s="51">
        <v>14</v>
      </c>
      <c r="G25" s="499">
        <v>7433</v>
      </c>
      <c r="H25" s="500"/>
      <c r="I25" s="526">
        <v>2825</v>
      </c>
    </row>
    <row r="26" spans="1:9" ht="14">
      <c r="A26" s="810"/>
      <c r="B26" s="802"/>
      <c r="C26" s="574" t="s">
        <v>3431</v>
      </c>
      <c r="D26" s="575" t="s">
        <v>3839</v>
      </c>
      <c r="E26" s="802"/>
      <c r="F26" s="563">
        <v>16</v>
      </c>
      <c r="G26" s="526">
        <v>7621</v>
      </c>
      <c r="H26" s="564"/>
      <c r="I26" s="526">
        <v>2896</v>
      </c>
    </row>
    <row r="27" spans="1:9" ht="15" customHeight="1">
      <c r="A27" s="810"/>
      <c r="B27" s="804" t="s">
        <v>3432</v>
      </c>
      <c r="C27" s="572" t="s">
        <v>3433</v>
      </c>
      <c r="D27" s="573" t="s">
        <v>3434</v>
      </c>
      <c r="E27" s="800" t="s">
        <v>3435</v>
      </c>
      <c r="F27" s="51">
        <v>6</v>
      </c>
      <c r="G27" s="499">
        <v>4486</v>
      </c>
      <c r="H27" s="500"/>
      <c r="I27" s="526">
        <v>1705</v>
      </c>
    </row>
    <row r="28" spans="1:9" ht="14">
      <c r="A28" s="810"/>
      <c r="B28" s="805"/>
      <c r="C28" s="572" t="s">
        <v>3436</v>
      </c>
      <c r="D28" s="573" t="s">
        <v>3437</v>
      </c>
      <c r="E28" s="801"/>
      <c r="F28" s="51">
        <v>10</v>
      </c>
      <c r="G28" s="499">
        <v>4549</v>
      </c>
      <c r="H28" s="500"/>
      <c r="I28" s="526">
        <v>1729</v>
      </c>
    </row>
    <row r="29" spans="1:9" ht="11.75" customHeight="1">
      <c r="A29" s="810"/>
      <c r="B29" s="806"/>
      <c r="C29" s="576" t="s">
        <v>3438</v>
      </c>
      <c r="D29" s="577" t="s">
        <v>3439</v>
      </c>
      <c r="E29" s="802"/>
      <c r="F29" s="563">
        <v>14</v>
      </c>
      <c r="G29" s="526">
        <v>4680</v>
      </c>
      <c r="H29" s="564"/>
      <c r="I29" s="526">
        <v>1779</v>
      </c>
    </row>
    <row r="30" spans="1:9" ht="14.25" customHeight="1">
      <c r="A30" s="810"/>
      <c r="B30" s="807" t="s">
        <v>3440</v>
      </c>
      <c r="C30" s="52" t="s">
        <v>3441</v>
      </c>
      <c r="D30" s="54" t="s">
        <v>3442</v>
      </c>
      <c r="E30" s="732" t="s">
        <v>3443</v>
      </c>
      <c r="F30" s="52" t="s">
        <v>3023</v>
      </c>
      <c r="G30" s="499">
        <v>10181</v>
      </c>
      <c r="H30" s="500"/>
      <c r="I30" s="526">
        <v>3869</v>
      </c>
    </row>
    <row r="31" spans="1:9" ht="14.25" customHeight="1">
      <c r="A31" s="810"/>
      <c r="B31" s="807"/>
      <c r="C31" s="52" t="s">
        <v>3444</v>
      </c>
      <c r="D31" s="54" t="s">
        <v>3445</v>
      </c>
      <c r="E31" s="733"/>
      <c r="F31" s="52" t="s">
        <v>3025</v>
      </c>
      <c r="G31" s="499">
        <v>11913</v>
      </c>
      <c r="H31" s="500"/>
      <c r="I31" s="526">
        <v>4527</v>
      </c>
    </row>
    <row r="32" spans="1:9" ht="14.25" customHeight="1">
      <c r="A32" s="810"/>
      <c r="B32" s="807"/>
      <c r="C32" s="52" t="s">
        <v>3446</v>
      </c>
      <c r="D32" s="54" t="s">
        <v>3445</v>
      </c>
      <c r="E32" s="733"/>
      <c r="F32" s="52" t="s">
        <v>3025</v>
      </c>
      <c r="G32" s="499">
        <v>12489</v>
      </c>
      <c r="H32" s="500"/>
      <c r="I32" s="526">
        <v>4746</v>
      </c>
    </row>
    <row r="33" spans="1:9" ht="14.25" customHeight="1">
      <c r="A33" s="810"/>
      <c r="B33" s="807"/>
      <c r="C33" s="52" t="s">
        <v>3447</v>
      </c>
      <c r="D33" s="54" t="s">
        <v>3445</v>
      </c>
      <c r="E33" s="733"/>
      <c r="F33" s="52" t="s">
        <v>3025</v>
      </c>
      <c r="G33" s="499">
        <v>12107</v>
      </c>
      <c r="H33" s="500"/>
      <c r="I33" s="526">
        <v>4601</v>
      </c>
    </row>
    <row r="34" spans="1:9" ht="15" customHeight="1">
      <c r="A34" s="811"/>
      <c r="B34" s="807"/>
      <c r="C34" s="52" t="s">
        <v>3448</v>
      </c>
      <c r="D34" s="54" t="s">
        <v>3445</v>
      </c>
      <c r="E34" s="734"/>
      <c r="F34" s="52" t="s">
        <v>3025</v>
      </c>
      <c r="G34" s="499">
        <v>12683</v>
      </c>
      <c r="H34" s="500"/>
      <c r="I34" s="526">
        <v>4820</v>
      </c>
    </row>
    <row r="35" spans="1:9" ht="14.25" customHeight="1">
      <c r="A35" s="705" t="s">
        <v>3449</v>
      </c>
      <c r="B35" s="705" t="s">
        <v>3449</v>
      </c>
      <c r="C35" s="314" t="s">
        <v>2062</v>
      </c>
      <c r="D35" s="53" t="s">
        <v>2063</v>
      </c>
      <c r="E35" s="55" t="s">
        <v>3450</v>
      </c>
      <c r="F35" s="56">
        <v>12</v>
      </c>
      <c r="G35" s="499">
        <v>8237</v>
      </c>
      <c r="H35" s="500"/>
      <c r="I35" s="526">
        <v>3131</v>
      </c>
    </row>
    <row r="36" spans="1:9" ht="14.25" customHeight="1">
      <c r="A36" s="706"/>
      <c r="B36" s="706"/>
      <c r="C36" s="314" t="s">
        <v>2064</v>
      </c>
      <c r="D36" s="53" t="s">
        <v>2065</v>
      </c>
      <c r="E36" s="799" t="s">
        <v>3451</v>
      </c>
      <c r="F36" s="56">
        <v>20</v>
      </c>
      <c r="G36" s="499">
        <v>10175</v>
      </c>
      <c r="H36" s="500"/>
      <c r="I36" s="526">
        <v>3867</v>
      </c>
    </row>
    <row r="37" spans="1:9" ht="14.25" customHeight="1">
      <c r="A37" s="706"/>
      <c r="B37" s="706"/>
      <c r="C37" s="314" t="s">
        <v>2066</v>
      </c>
      <c r="D37" s="53" t="s">
        <v>2067</v>
      </c>
      <c r="E37" s="799"/>
      <c r="F37" s="56">
        <v>42</v>
      </c>
      <c r="G37" s="499">
        <v>17574</v>
      </c>
      <c r="H37" s="500"/>
      <c r="I37" s="526">
        <v>6679</v>
      </c>
    </row>
    <row r="38" spans="1:9" ht="14.25" customHeight="1">
      <c r="A38" s="706"/>
      <c r="B38" s="706"/>
      <c r="C38" s="314" t="s">
        <v>2068</v>
      </c>
      <c r="D38" s="53" t="s">
        <v>2069</v>
      </c>
      <c r="E38" s="799"/>
      <c r="F38" s="58">
        <v>80</v>
      </c>
      <c r="G38" s="499">
        <v>35808</v>
      </c>
      <c r="H38" s="500"/>
      <c r="I38" s="526">
        <v>13608</v>
      </c>
    </row>
    <row r="39" spans="1:9" ht="15" customHeight="1">
      <c r="A39" s="793" t="s">
        <v>3452</v>
      </c>
      <c r="B39" s="794"/>
      <c r="C39" s="59" t="s">
        <v>3453</v>
      </c>
      <c r="D39" s="241" t="s">
        <v>3454</v>
      </c>
      <c r="E39" s="59" t="s">
        <v>2822</v>
      </c>
      <c r="F39" s="59">
        <v>7</v>
      </c>
      <c r="G39" s="499">
        <v>3631</v>
      </c>
      <c r="H39" s="500"/>
      <c r="I39" s="526">
        <v>1380</v>
      </c>
    </row>
    <row r="40" spans="1:9" ht="14">
      <c r="A40" s="795"/>
      <c r="B40" s="796"/>
      <c r="C40" s="59" t="s">
        <v>3455</v>
      </c>
      <c r="D40" s="60" t="s">
        <v>3456</v>
      </c>
      <c r="E40" s="59" t="s">
        <v>2822</v>
      </c>
      <c r="F40" s="59">
        <v>9</v>
      </c>
      <c r="G40" s="499">
        <v>3882</v>
      </c>
      <c r="H40" s="500"/>
      <c r="I40" s="526">
        <v>1476</v>
      </c>
    </row>
    <row r="41" spans="1:9" ht="14">
      <c r="A41" s="795"/>
      <c r="B41" s="796"/>
      <c r="C41" s="59" t="s">
        <v>3457</v>
      </c>
      <c r="D41" s="60" t="s">
        <v>3458</v>
      </c>
      <c r="E41" s="59" t="s">
        <v>2822</v>
      </c>
      <c r="F41" s="59">
        <v>12</v>
      </c>
      <c r="G41" s="499">
        <v>4036</v>
      </c>
      <c r="H41" s="500"/>
      <c r="I41" s="526">
        <v>1534</v>
      </c>
    </row>
    <row r="42" spans="1:9" ht="14">
      <c r="A42" s="795"/>
      <c r="B42" s="796"/>
      <c r="C42" s="55" t="s">
        <v>3459</v>
      </c>
      <c r="D42" s="242" t="s">
        <v>3460</v>
      </c>
      <c r="E42" s="55" t="s">
        <v>2822</v>
      </c>
      <c r="F42" s="55">
        <v>16</v>
      </c>
      <c r="G42" s="499">
        <v>4908</v>
      </c>
      <c r="H42" s="500"/>
      <c r="I42" s="526">
        <v>1866</v>
      </c>
    </row>
    <row r="43" spans="1:9" ht="14">
      <c r="A43" s="797"/>
      <c r="B43" s="798"/>
      <c r="C43" s="55" t="s">
        <v>3461</v>
      </c>
      <c r="D43" s="369" t="s">
        <v>3462</v>
      </c>
      <c r="E43" s="55" t="s">
        <v>2822</v>
      </c>
      <c r="F43" s="57">
        <v>20</v>
      </c>
      <c r="G43" s="499">
        <v>5068</v>
      </c>
      <c r="H43" s="500"/>
      <c r="I43" s="526">
        <v>1926</v>
      </c>
    </row>
    <row r="44" spans="1:9" ht="14">
      <c r="A44" s="808" t="s">
        <v>3463</v>
      </c>
      <c r="B44" s="808" t="s">
        <v>3464</v>
      </c>
      <c r="C44" s="578" t="s">
        <v>3465</v>
      </c>
      <c r="D44" s="579" t="s">
        <v>3840</v>
      </c>
      <c r="E44" s="314" t="s">
        <v>2822</v>
      </c>
      <c r="F44" s="580">
        <v>6</v>
      </c>
      <c r="G44" s="499">
        <v>2982</v>
      </c>
      <c r="H44" s="500"/>
      <c r="I44" s="526">
        <v>1134</v>
      </c>
    </row>
    <row r="45" spans="1:9" ht="14">
      <c r="A45" s="808"/>
      <c r="B45" s="808"/>
      <c r="C45" s="578" t="s">
        <v>3466</v>
      </c>
      <c r="D45" s="581" t="s">
        <v>3841</v>
      </c>
      <c r="E45" s="582" t="s">
        <v>2822</v>
      </c>
      <c r="F45" s="61">
        <v>8</v>
      </c>
      <c r="G45" s="499">
        <v>3255</v>
      </c>
      <c r="H45" s="500"/>
      <c r="I45" s="526">
        <v>1237</v>
      </c>
    </row>
    <row r="46" spans="1:9" ht="14">
      <c r="A46" s="808"/>
      <c r="B46" s="808"/>
      <c r="C46" s="578" t="s">
        <v>3467</v>
      </c>
      <c r="D46" s="581" t="s">
        <v>3842</v>
      </c>
      <c r="E46" s="582" t="s">
        <v>2822</v>
      </c>
      <c r="F46" s="583">
        <v>11</v>
      </c>
      <c r="G46" s="499">
        <v>4218</v>
      </c>
      <c r="H46" s="500"/>
      <c r="I46" s="526">
        <v>1603</v>
      </c>
    </row>
    <row r="47" spans="1:9" ht="14">
      <c r="A47" s="808"/>
      <c r="B47" s="808"/>
      <c r="C47" s="578" t="s">
        <v>3468</v>
      </c>
      <c r="D47" s="581" t="s">
        <v>3843</v>
      </c>
      <c r="E47" s="582" t="s">
        <v>2822</v>
      </c>
      <c r="F47" s="583">
        <v>14</v>
      </c>
      <c r="G47" s="499">
        <v>5883</v>
      </c>
      <c r="H47" s="500"/>
      <c r="I47" s="526">
        <v>2236</v>
      </c>
    </row>
    <row r="48" spans="1:9" ht="14">
      <c r="A48" s="808"/>
      <c r="B48" s="808"/>
      <c r="C48" s="578" t="s">
        <v>3469</v>
      </c>
      <c r="D48" s="581" t="s">
        <v>3844</v>
      </c>
      <c r="E48" s="582" t="s">
        <v>2822</v>
      </c>
      <c r="F48" s="583">
        <v>16</v>
      </c>
      <c r="G48" s="499">
        <v>6145</v>
      </c>
      <c r="H48" s="500"/>
      <c r="I48" s="526">
        <v>2336</v>
      </c>
    </row>
    <row r="49" spans="1:9" ht="14">
      <c r="A49" s="808"/>
      <c r="B49" s="808"/>
      <c r="C49" s="578" t="s">
        <v>3470</v>
      </c>
      <c r="D49" s="581" t="s">
        <v>3845</v>
      </c>
      <c r="E49" s="582" t="s">
        <v>3471</v>
      </c>
      <c r="F49" s="583">
        <v>14</v>
      </c>
      <c r="G49" s="499">
        <v>6345</v>
      </c>
      <c r="H49" s="500"/>
      <c r="I49" s="526">
        <v>2412</v>
      </c>
    </row>
    <row r="50" spans="1:9" ht="14">
      <c r="A50" s="808"/>
      <c r="B50" s="808"/>
      <c r="C50" s="578" t="s">
        <v>3472</v>
      </c>
      <c r="D50" s="581" t="s">
        <v>3846</v>
      </c>
      <c r="E50" s="582" t="s">
        <v>3471</v>
      </c>
      <c r="F50" s="583">
        <v>16</v>
      </c>
      <c r="G50" s="499">
        <v>6612</v>
      </c>
      <c r="H50" s="500"/>
      <c r="I50" s="526">
        <v>2513</v>
      </c>
    </row>
    <row r="51" spans="1:9" ht="14">
      <c r="A51" s="808"/>
      <c r="B51" s="808" t="s">
        <v>4067</v>
      </c>
      <c r="C51" s="578" t="s">
        <v>3473</v>
      </c>
      <c r="D51" s="581" t="s">
        <v>3847</v>
      </c>
      <c r="E51" s="584" t="s">
        <v>2822</v>
      </c>
      <c r="F51" s="61">
        <v>8</v>
      </c>
      <c r="G51" s="499">
        <v>3660</v>
      </c>
      <c r="H51" s="500"/>
      <c r="I51" s="526">
        <v>1391</v>
      </c>
    </row>
    <row r="52" spans="1:9" ht="14">
      <c r="A52" s="808"/>
      <c r="B52" s="808"/>
      <c r="C52" s="578" t="s">
        <v>3474</v>
      </c>
      <c r="D52" s="581" t="s">
        <v>3848</v>
      </c>
      <c r="E52" s="584" t="s">
        <v>2822</v>
      </c>
      <c r="F52" s="61">
        <v>11</v>
      </c>
      <c r="G52" s="499">
        <v>3888</v>
      </c>
      <c r="H52" s="500"/>
      <c r="I52" s="526">
        <v>1478</v>
      </c>
    </row>
    <row r="53" spans="1:9" ht="14">
      <c r="A53" s="808"/>
      <c r="B53" s="808"/>
      <c r="C53" s="578" t="s">
        <v>3475</v>
      </c>
      <c r="D53" s="581" t="s">
        <v>3848</v>
      </c>
      <c r="E53" s="584" t="s">
        <v>2822</v>
      </c>
      <c r="F53" s="61">
        <v>16</v>
      </c>
      <c r="G53" s="499">
        <v>4047</v>
      </c>
      <c r="H53" s="500"/>
      <c r="I53" s="526">
        <v>1538</v>
      </c>
    </row>
    <row r="54" spans="1:9" ht="14">
      <c r="A54" s="808" t="s">
        <v>3476</v>
      </c>
      <c r="B54" s="808" t="s">
        <v>3464</v>
      </c>
      <c r="C54" s="578" t="s">
        <v>3477</v>
      </c>
      <c r="D54" s="581" t="s">
        <v>3478</v>
      </c>
      <c r="E54" s="584" t="s">
        <v>2822</v>
      </c>
      <c r="F54" s="61">
        <v>12</v>
      </c>
      <c r="G54" s="499">
        <v>6709</v>
      </c>
      <c r="H54" s="500"/>
      <c r="I54" s="526">
        <v>2550</v>
      </c>
    </row>
    <row r="55" spans="1:9" ht="14">
      <c r="A55" s="808"/>
      <c r="B55" s="808"/>
      <c r="C55" s="578" t="s">
        <v>3479</v>
      </c>
      <c r="D55" s="581" t="s">
        <v>3480</v>
      </c>
      <c r="E55" s="584" t="s">
        <v>2822</v>
      </c>
      <c r="F55" s="61">
        <v>14</v>
      </c>
      <c r="G55" s="499">
        <v>6972</v>
      </c>
      <c r="H55" s="500"/>
      <c r="I55" s="526">
        <v>2650</v>
      </c>
    </row>
    <row r="56" spans="1:9" ht="14">
      <c r="A56" s="808"/>
      <c r="B56" s="808"/>
      <c r="C56" s="578" t="s">
        <v>3481</v>
      </c>
      <c r="D56" s="581" t="s">
        <v>3482</v>
      </c>
      <c r="E56" s="584" t="s">
        <v>2822</v>
      </c>
      <c r="F56" s="61">
        <v>16</v>
      </c>
      <c r="G56" s="499">
        <v>7114</v>
      </c>
      <c r="H56" s="500"/>
      <c r="I56" s="526">
        <v>2704</v>
      </c>
    </row>
    <row r="57" spans="1:9" ht="14">
      <c r="A57" s="808"/>
      <c r="B57" s="808"/>
      <c r="C57" s="578" t="s">
        <v>3483</v>
      </c>
      <c r="D57" s="581" t="s">
        <v>3484</v>
      </c>
      <c r="E57" s="582" t="s">
        <v>3471</v>
      </c>
      <c r="F57" s="61">
        <v>12</v>
      </c>
      <c r="G57" s="499">
        <v>7302</v>
      </c>
      <c r="H57" s="500"/>
      <c r="I57" s="526">
        <v>2775</v>
      </c>
    </row>
    <row r="58" spans="1:9" ht="14">
      <c r="A58" s="808"/>
      <c r="B58" s="808"/>
      <c r="C58" s="578" t="s">
        <v>3485</v>
      </c>
      <c r="D58" s="581" t="s">
        <v>3486</v>
      </c>
      <c r="E58" s="582" t="s">
        <v>3471</v>
      </c>
      <c r="F58" s="61">
        <v>14</v>
      </c>
      <c r="G58" s="499">
        <v>7428</v>
      </c>
      <c r="H58" s="500"/>
      <c r="I58" s="526">
        <v>2823</v>
      </c>
    </row>
    <row r="59" spans="1:9" ht="14">
      <c r="A59" s="808"/>
      <c r="B59" s="808"/>
      <c r="C59" s="578" t="s">
        <v>3487</v>
      </c>
      <c r="D59" s="581" t="s">
        <v>3488</v>
      </c>
      <c r="E59" s="582" t="s">
        <v>3471</v>
      </c>
      <c r="F59" s="61">
        <v>16</v>
      </c>
      <c r="G59" s="499">
        <v>7524</v>
      </c>
      <c r="H59" s="500"/>
      <c r="I59" s="526">
        <v>2860</v>
      </c>
    </row>
    <row r="60" spans="1:9" ht="14">
      <c r="A60" s="808"/>
      <c r="B60" s="61" t="s">
        <v>4068</v>
      </c>
      <c r="C60" s="578" t="s">
        <v>3489</v>
      </c>
      <c r="D60" s="581" t="s">
        <v>3849</v>
      </c>
      <c r="E60" s="584" t="s">
        <v>2822</v>
      </c>
      <c r="F60" s="61">
        <v>16</v>
      </c>
      <c r="G60" s="499">
        <v>4030</v>
      </c>
      <c r="H60" s="500"/>
      <c r="I60" s="526">
        <v>1532</v>
      </c>
    </row>
    <row r="61" spans="1:9" ht="15">
      <c r="A61" s="803" t="s">
        <v>3490</v>
      </c>
      <c r="B61" s="803" t="s">
        <v>3491</v>
      </c>
      <c r="C61" s="585" t="s">
        <v>3492</v>
      </c>
      <c r="D61" s="586" t="s">
        <v>3493</v>
      </c>
      <c r="E61" s="314" t="s">
        <v>3494</v>
      </c>
      <c r="F61" s="540">
        <v>8</v>
      </c>
      <c r="G61" s="499">
        <v>11628</v>
      </c>
      <c r="H61" s="500"/>
      <c r="I61" s="526">
        <v>4419</v>
      </c>
    </row>
    <row r="62" spans="1:9" ht="15">
      <c r="A62" s="803"/>
      <c r="B62" s="803"/>
      <c r="C62" s="585" t="s">
        <v>3495</v>
      </c>
      <c r="D62" s="586" t="s">
        <v>3496</v>
      </c>
      <c r="E62" s="314" t="s">
        <v>3494</v>
      </c>
      <c r="F62" s="540">
        <v>10</v>
      </c>
      <c r="G62" s="499">
        <v>12569</v>
      </c>
      <c r="H62" s="500"/>
      <c r="I62" s="526">
        <v>4777</v>
      </c>
    </row>
    <row r="63" spans="1:9" ht="15">
      <c r="A63" s="803"/>
      <c r="B63" s="803"/>
      <c r="C63" s="585" t="s">
        <v>3497</v>
      </c>
      <c r="D63" s="586" t="s">
        <v>3498</v>
      </c>
      <c r="E63" s="314" t="s">
        <v>3494</v>
      </c>
      <c r="F63" s="540">
        <v>12</v>
      </c>
      <c r="G63" s="499">
        <v>14273</v>
      </c>
      <c r="H63" s="500"/>
      <c r="I63" s="526">
        <v>5424</v>
      </c>
    </row>
    <row r="64" spans="1:9" ht="15">
      <c r="A64" s="803"/>
      <c r="B64" s="803"/>
      <c r="C64" s="585" t="s">
        <v>3499</v>
      </c>
      <c r="D64" s="586" t="s">
        <v>3500</v>
      </c>
      <c r="E64" s="314" t="s">
        <v>3494</v>
      </c>
      <c r="F64" s="540">
        <v>14</v>
      </c>
      <c r="G64" s="499">
        <v>14541</v>
      </c>
      <c r="H64" s="500"/>
      <c r="I64" s="526">
        <v>5526</v>
      </c>
    </row>
    <row r="65" spans="1:9" ht="15">
      <c r="A65" s="803"/>
      <c r="B65" s="803"/>
      <c r="C65" s="585" t="s">
        <v>3501</v>
      </c>
      <c r="D65" s="586" t="s">
        <v>3502</v>
      </c>
      <c r="E65" s="314" t="s">
        <v>3494</v>
      </c>
      <c r="F65" s="540">
        <v>16</v>
      </c>
      <c r="G65" s="499">
        <v>14781</v>
      </c>
      <c r="H65" s="500"/>
      <c r="I65" s="526">
        <v>5617</v>
      </c>
    </row>
    <row r="66" spans="1:9" ht="14">
      <c r="A66" s="803"/>
      <c r="B66" s="803"/>
      <c r="C66" s="585" t="s">
        <v>3503</v>
      </c>
      <c r="D66" s="586" t="s">
        <v>3504</v>
      </c>
      <c r="E66" s="314" t="s">
        <v>3471</v>
      </c>
      <c r="F66" s="540">
        <v>8</v>
      </c>
      <c r="G66" s="499">
        <v>12951</v>
      </c>
      <c r="H66" s="500"/>
      <c r="I66" s="526">
        <v>4922</v>
      </c>
    </row>
    <row r="67" spans="1:9" ht="14">
      <c r="A67" s="803"/>
      <c r="B67" s="803"/>
      <c r="C67" s="585" t="s">
        <v>3505</v>
      </c>
      <c r="D67" s="586" t="s">
        <v>3506</v>
      </c>
      <c r="E67" s="314" t="s">
        <v>3471</v>
      </c>
      <c r="F67" s="540">
        <v>10</v>
      </c>
      <c r="G67" s="499">
        <v>13908</v>
      </c>
      <c r="H67" s="500"/>
      <c r="I67" s="526">
        <v>5286</v>
      </c>
    </row>
    <row r="68" spans="1:9" ht="14">
      <c r="A68" s="803"/>
      <c r="B68" s="803"/>
      <c r="C68" s="585" t="s">
        <v>3507</v>
      </c>
      <c r="D68" s="586" t="s">
        <v>3508</v>
      </c>
      <c r="E68" s="314" t="s">
        <v>3471</v>
      </c>
      <c r="F68" s="540">
        <v>12</v>
      </c>
      <c r="G68" s="499">
        <v>14798</v>
      </c>
      <c r="H68" s="500"/>
      <c r="I68" s="526">
        <v>5624</v>
      </c>
    </row>
    <row r="69" spans="1:9" ht="14">
      <c r="A69" s="803"/>
      <c r="B69" s="803"/>
      <c r="C69" s="585" t="s">
        <v>3509</v>
      </c>
      <c r="D69" s="586" t="s">
        <v>3510</v>
      </c>
      <c r="E69" s="314" t="s">
        <v>3471</v>
      </c>
      <c r="F69" s="540">
        <v>14</v>
      </c>
      <c r="G69" s="499">
        <v>15140</v>
      </c>
      <c r="H69" s="500"/>
      <c r="I69" s="526">
        <v>5754</v>
      </c>
    </row>
    <row r="70" spans="1:9" ht="14">
      <c r="A70" s="803"/>
      <c r="B70" s="803"/>
      <c r="C70" s="585" t="s">
        <v>3511</v>
      </c>
      <c r="D70" s="586" t="s">
        <v>3512</v>
      </c>
      <c r="E70" s="314" t="s">
        <v>3471</v>
      </c>
      <c r="F70" s="540">
        <v>16</v>
      </c>
      <c r="G70" s="499">
        <v>15613</v>
      </c>
      <c r="H70" s="500"/>
      <c r="I70" s="526">
        <v>5933</v>
      </c>
    </row>
    <row r="71" spans="1:9" ht="14">
      <c r="A71" s="803" t="s">
        <v>3513</v>
      </c>
      <c r="B71" s="803" t="s">
        <v>3491</v>
      </c>
      <c r="C71" s="587" t="s">
        <v>3514</v>
      </c>
      <c r="D71" s="588" t="s">
        <v>3515</v>
      </c>
      <c r="E71" s="52" t="s">
        <v>3471</v>
      </c>
      <c r="F71" s="540">
        <v>26</v>
      </c>
      <c r="G71" s="499">
        <v>23142</v>
      </c>
      <c r="H71" s="500"/>
      <c r="I71" s="526">
        <v>8794</v>
      </c>
    </row>
    <row r="72" spans="1:9" ht="14">
      <c r="A72" s="803"/>
      <c r="B72" s="803"/>
      <c r="C72" s="587" t="s">
        <v>3516</v>
      </c>
      <c r="D72" s="581" t="s">
        <v>3517</v>
      </c>
      <c r="E72" s="52" t="s">
        <v>3471</v>
      </c>
      <c r="F72" s="540">
        <v>30</v>
      </c>
      <c r="G72" s="499">
        <v>24471</v>
      </c>
      <c r="H72" s="500"/>
      <c r="I72" s="526">
        <v>9299</v>
      </c>
    </row>
    <row r="73" spans="1:9" ht="14">
      <c r="A73" s="803"/>
      <c r="B73" s="803"/>
      <c r="C73" s="587" t="s">
        <v>3518</v>
      </c>
      <c r="D73" s="581" t="s">
        <v>3519</v>
      </c>
      <c r="E73" s="52" t="s">
        <v>3471</v>
      </c>
      <c r="F73" s="540">
        <v>35</v>
      </c>
      <c r="G73" s="499">
        <v>25639</v>
      </c>
      <c r="H73" s="500"/>
      <c r="I73" s="526">
        <v>9743</v>
      </c>
    </row>
    <row r="74" spans="1:9">
      <c r="B74" s="62"/>
      <c r="C74" s="63"/>
      <c r="D74" s="64"/>
      <c r="F74" s="65"/>
    </row>
    <row r="75" spans="1:9">
      <c r="B75" s="62"/>
      <c r="C75" s="63"/>
      <c r="D75" s="64"/>
      <c r="F75" s="65"/>
    </row>
    <row r="76" spans="1:9">
      <c r="B76" s="62"/>
      <c r="C76" s="63"/>
      <c r="D76" s="64"/>
      <c r="F76" s="65"/>
    </row>
    <row r="77" spans="1:9">
      <c r="B77" s="62"/>
      <c r="C77" s="63"/>
      <c r="D77" s="64"/>
      <c r="F77" s="65"/>
    </row>
    <row r="78" spans="1:9">
      <c r="B78" s="62"/>
      <c r="C78" s="63"/>
      <c r="D78" s="64"/>
      <c r="F78" s="65"/>
    </row>
    <row r="79" spans="1:9">
      <c r="B79" s="62"/>
      <c r="C79" s="63"/>
      <c r="D79" s="64"/>
      <c r="F79" s="65"/>
    </row>
    <row r="80" spans="1:9">
      <c r="B80" s="62"/>
      <c r="C80" s="63"/>
      <c r="D80" s="64"/>
      <c r="F80" s="65"/>
    </row>
    <row r="81" spans="2:6">
      <c r="B81" s="62"/>
      <c r="C81" s="63"/>
      <c r="D81" s="64"/>
      <c r="F81" s="65"/>
    </row>
    <row r="82" spans="2:6">
      <c r="B82" s="62"/>
      <c r="C82" s="63"/>
      <c r="D82" s="64"/>
      <c r="F82" s="65"/>
    </row>
    <row r="83" spans="2:6">
      <c r="B83" s="62"/>
      <c r="C83" s="63"/>
      <c r="D83" s="64"/>
      <c r="F83" s="65"/>
    </row>
    <row r="84" spans="2:6">
      <c r="B84" s="62"/>
      <c r="C84" s="63"/>
      <c r="D84" s="64"/>
      <c r="F84" s="65"/>
    </row>
    <row r="85" spans="2:6">
      <c r="B85" s="62"/>
      <c r="C85" s="63"/>
      <c r="D85" s="64"/>
      <c r="F85" s="65"/>
    </row>
    <row r="86" spans="2:6">
      <c r="B86" s="62"/>
      <c r="C86" s="63"/>
      <c r="D86" s="64"/>
      <c r="F86" s="65"/>
    </row>
    <row r="87" spans="2:6">
      <c r="B87" s="62"/>
      <c r="C87" s="63"/>
      <c r="D87" s="64"/>
      <c r="F87" s="65"/>
    </row>
    <row r="88" spans="2:6">
      <c r="B88" s="62"/>
      <c r="C88" s="63"/>
      <c r="D88" s="64"/>
      <c r="F88" s="65"/>
    </row>
    <row r="89" spans="2:6">
      <c r="B89" s="62"/>
      <c r="C89" s="63"/>
      <c r="D89" s="64"/>
      <c r="F89" s="65"/>
    </row>
    <row r="90" spans="2:6">
      <c r="B90" s="62"/>
      <c r="C90" s="63"/>
      <c r="D90" s="64"/>
      <c r="F90" s="65"/>
    </row>
    <row r="91" spans="2:6">
      <c r="B91" s="62"/>
      <c r="C91" s="63"/>
      <c r="D91" s="64"/>
      <c r="F91" s="65"/>
    </row>
    <row r="92" spans="2:6">
      <c r="B92" s="62"/>
      <c r="C92" s="63"/>
      <c r="D92" s="64"/>
      <c r="F92" s="65"/>
    </row>
    <row r="93" spans="2:6">
      <c r="B93" s="62"/>
      <c r="C93" s="63"/>
      <c r="D93" s="64"/>
      <c r="F93" s="65"/>
    </row>
    <row r="94" spans="2:6">
      <c r="B94" s="62"/>
      <c r="C94" s="63"/>
      <c r="D94" s="64"/>
      <c r="F94" s="65"/>
    </row>
    <row r="95" spans="2:6">
      <c r="B95" s="62"/>
      <c r="C95" s="63"/>
      <c r="D95" s="64"/>
      <c r="F95" s="65"/>
    </row>
    <row r="96" spans="2:6">
      <c r="B96" s="62"/>
      <c r="C96" s="63"/>
      <c r="D96" s="64"/>
      <c r="F96" s="65"/>
    </row>
    <row r="97" spans="1:6">
      <c r="B97" s="62"/>
      <c r="C97" s="63"/>
      <c r="D97" s="64"/>
      <c r="F97" s="65"/>
    </row>
    <row r="98" spans="1:6">
      <c r="B98" s="62"/>
      <c r="C98" s="63"/>
      <c r="D98" s="64"/>
      <c r="F98" s="65"/>
    </row>
    <row r="99" spans="1:6">
      <c r="A99" s="66"/>
      <c r="B99" s="62"/>
      <c r="C99" s="63"/>
      <c r="D99" s="64"/>
      <c r="F99" s="65"/>
    </row>
    <row r="100" spans="1:6">
      <c r="B100" s="62"/>
      <c r="C100" s="63"/>
      <c r="D100" s="64"/>
      <c r="F100" s="65"/>
    </row>
    <row r="101" spans="1:6">
      <c r="B101" s="62"/>
      <c r="C101" s="63"/>
      <c r="D101" s="64"/>
      <c r="F101" s="65"/>
    </row>
    <row r="102" spans="1:6">
      <c r="B102" s="62"/>
      <c r="C102" s="63"/>
      <c r="D102" s="64"/>
      <c r="F102" s="65"/>
    </row>
  </sheetData>
  <mergeCells count="24">
    <mergeCell ref="A61:A70"/>
    <mergeCell ref="A71:A73"/>
    <mergeCell ref="B3:B16"/>
    <mergeCell ref="B17:B26"/>
    <mergeCell ref="B27:B29"/>
    <mergeCell ref="B30:B34"/>
    <mergeCell ref="B35:B38"/>
    <mergeCell ref="B44:B50"/>
    <mergeCell ref="B51:B53"/>
    <mergeCell ref="B54:B59"/>
    <mergeCell ref="B61:B70"/>
    <mergeCell ref="B71:B73"/>
    <mergeCell ref="A3:A34"/>
    <mergeCell ref="A35:A38"/>
    <mergeCell ref="A44:A53"/>
    <mergeCell ref="A54:A60"/>
    <mergeCell ref="A39:B43"/>
    <mergeCell ref="E30:E34"/>
    <mergeCell ref="E36:E38"/>
    <mergeCell ref="E3:E9"/>
    <mergeCell ref="E10:E16"/>
    <mergeCell ref="E17:E23"/>
    <mergeCell ref="E24:E26"/>
    <mergeCell ref="E27:E29"/>
  </mergeCells>
  <phoneticPr fontId="46" type="noConversion"/>
  <pageMargins left="0.7" right="0.7" top="0.75" bottom="0.75" header="0.3" footer="0.3"/>
  <pageSetup paperSize="9" scale="37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36"/>
  <sheetViews>
    <sheetView showGridLines="0" zoomScale="130" zoomScaleNormal="130" workbookViewId="0">
      <pane ySplit="2" topLeftCell="A3" activePane="bottomLeft" state="frozen"/>
      <selection pane="bottomLeft" activeCell="E11" sqref="E11:E20"/>
    </sheetView>
  </sheetViews>
  <sheetFormatPr baseColWidth="10" defaultColWidth="9" defaultRowHeight="12"/>
  <cols>
    <col min="1" max="1" width="10.5" style="44" customWidth="1"/>
    <col min="2" max="2" width="11.6640625" style="44" customWidth="1"/>
    <col min="3" max="3" width="19.1640625" style="44" customWidth="1"/>
    <col min="4" max="4" width="16.1640625" style="44" customWidth="1"/>
    <col min="5" max="5" width="21.1640625" style="44" customWidth="1"/>
    <col min="6" max="6" width="12.6640625" style="44" customWidth="1"/>
    <col min="7" max="7" width="9" style="44"/>
    <col min="8" max="8" width="1.33203125" style="44" customWidth="1"/>
    <col min="9" max="9" width="9" style="44" customWidth="1"/>
    <col min="10" max="11" width="2.33203125" style="44" customWidth="1"/>
    <col min="12" max="12" width="9" style="44" customWidth="1"/>
    <col min="13" max="16384" width="9" style="44"/>
  </cols>
  <sheetData>
    <row r="1" spans="1:9" ht="14">
      <c r="G1" s="501"/>
      <c r="H1" s="502"/>
      <c r="I1" s="525">
        <v>0.38</v>
      </c>
    </row>
    <row r="2" spans="1:9" ht="42" customHeight="1">
      <c r="A2" s="370" t="s">
        <v>2236</v>
      </c>
      <c r="B2" s="370" t="s">
        <v>3078</v>
      </c>
      <c r="C2" s="370" t="s">
        <v>3881</v>
      </c>
      <c r="D2" s="370" t="s">
        <v>3520</v>
      </c>
      <c r="E2" s="370" t="s">
        <v>2238</v>
      </c>
      <c r="F2" s="370" t="s">
        <v>3380</v>
      </c>
      <c r="G2" s="492" t="s">
        <v>4077</v>
      </c>
      <c r="H2" s="489"/>
      <c r="I2" s="492" t="s">
        <v>4078</v>
      </c>
    </row>
    <row r="3" spans="1:9" ht="12" customHeight="1">
      <c r="A3" s="812" t="s">
        <v>3521</v>
      </c>
      <c r="B3" s="815" t="s">
        <v>3083</v>
      </c>
      <c r="C3" s="565" t="s">
        <v>1130</v>
      </c>
      <c r="D3" s="565">
        <v>22027710000302</v>
      </c>
      <c r="E3" s="821" t="s">
        <v>3522</v>
      </c>
      <c r="F3" s="566">
        <v>27</v>
      </c>
      <c r="G3" s="567">
        <v>10158</v>
      </c>
      <c r="H3" s="500"/>
      <c r="I3" s="526">
        <v>3861</v>
      </c>
    </row>
    <row r="4" spans="1:9" ht="14">
      <c r="A4" s="813"/>
      <c r="B4" s="816"/>
      <c r="C4" s="565" t="s">
        <v>1136</v>
      </c>
      <c r="D4" s="565" t="s">
        <v>1138</v>
      </c>
      <c r="E4" s="822"/>
      <c r="F4" s="566">
        <v>35</v>
      </c>
      <c r="G4" s="567">
        <v>13527</v>
      </c>
      <c r="H4" s="500"/>
      <c r="I4" s="526">
        <v>5141</v>
      </c>
    </row>
    <row r="5" spans="1:9" ht="14">
      <c r="A5" s="813"/>
      <c r="B5" s="816"/>
      <c r="C5" s="565" t="s">
        <v>1139</v>
      </c>
      <c r="D5" s="565" t="s">
        <v>1141</v>
      </c>
      <c r="E5" s="822"/>
      <c r="F5" s="566">
        <v>43</v>
      </c>
      <c r="G5" s="567">
        <v>18833</v>
      </c>
      <c r="H5" s="500"/>
      <c r="I5" s="526">
        <v>7157</v>
      </c>
    </row>
    <row r="6" spans="1:9" ht="14">
      <c r="A6" s="813"/>
      <c r="B6" s="816"/>
      <c r="C6" s="565" t="s">
        <v>1142</v>
      </c>
      <c r="D6" s="565" t="s">
        <v>1144</v>
      </c>
      <c r="E6" s="822"/>
      <c r="F6" s="566">
        <v>53</v>
      </c>
      <c r="G6" s="567">
        <v>21364</v>
      </c>
      <c r="H6" s="500"/>
      <c r="I6" s="526">
        <v>8119</v>
      </c>
    </row>
    <row r="7" spans="1:9" ht="14">
      <c r="A7" s="813"/>
      <c r="B7" s="816"/>
      <c r="C7" s="565" t="s">
        <v>1145</v>
      </c>
      <c r="D7" s="565" t="s">
        <v>1147</v>
      </c>
      <c r="E7" s="822"/>
      <c r="F7" s="566">
        <v>62</v>
      </c>
      <c r="G7" s="567">
        <v>25713</v>
      </c>
      <c r="H7" s="500"/>
      <c r="I7" s="526">
        <v>9771</v>
      </c>
    </row>
    <row r="8" spans="1:9" ht="14">
      <c r="A8" s="813"/>
      <c r="B8" s="816"/>
      <c r="C8" s="565" t="s">
        <v>1148</v>
      </c>
      <c r="D8" s="565" t="s">
        <v>1150</v>
      </c>
      <c r="E8" s="822"/>
      <c r="F8" s="566">
        <v>70</v>
      </c>
      <c r="G8" s="567">
        <v>26802</v>
      </c>
      <c r="H8" s="500"/>
      <c r="I8" s="526">
        <v>10185</v>
      </c>
    </row>
    <row r="9" spans="1:9" ht="14">
      <c r="A9" s="813"/>
      <c r="B9" s="816"/>
      <c r="C9" s="565" t="s">
        <v>1151</v>
      </c>
      <c r="D9" s="565" t="s">
        <v>1153</v>
      </c>
      <c r="E9" s="822"/>
      <c r="F9" s="566">
        <v>88</v>
      </c>
      <c r="G9" s="567">
        <v>32929</v>
      </c>
      <c r="H9" s="500"/>
      <c r="I9" s="526">
        <v>12514</v>
      </c>
    </row>
    <row r="10" spans="1:9" ht="14">
      <c r="A10" s="813"/>
      <c r="B10" s="817"/>
      <c r="C10" s="565" t="s">
        <v>1154</v>
      </c>
      <c r="D10" s="565">
        <v>22027710000321</v>
      </c>
      <c r="E10" s="823"/>
      <c r="F10" s="566">
        <v>105</v>
      </c>
      <c r="G10" s="567">
        <v>42927</v>
      </c>
      <c r="H10" s="500"/>
      <c r="I10" s="526">
        <v>16313</v>
      </c>
    </row>
    <row r="11" spans="1:9" ht="12" customHeight="1">
      <c r="A11" s="813"/>
      <c r="B11" s="818" t="s">
        <v>3081</v>
      </c>
      <c r="C11" s="568" t="s">
        <v>1161</v>
      </c>
      <c r="D11" s="568">
        <v>22027710000020</v>
      </c>
      <c r="E11" s="824" t="s">
        <v>3523</v>
      </c>
      <c r="F11" s="569">
        <v>22</v>
      </c>
      <c r="G11" s="570">
        <v>9605</v>
      </c>
      <c r="H11" s="500"/>
      <c r="I11" s="526">
        <v>3650</v>
      </c>
    </row>
    <row r="12" spans="1:9" ht="14">
      <c r="A12" s="813"/>
      <c r="B12" s="819"/>
      <c r="C12" s="568" t="s">
        <v>1163</v>
      </c>
      <c r="D12" s="568">
        <v>22027710000021</v>
      </c>
      <c r="E12" s="825"/>
      <c r="F12" s="569">
        <v>27</v>
      </c>
      <c r="G12" s="570">
        <v>10887</v>
      </c>
      <c r="H12" s="500"/>
      <c r="I12" s="526">
        <v>4138</v>
      </c>
    </row>
    <row r="13" spans="1:9" ht="14">
      <c r="A13" s="813"/>
      <c r="B13" s="819"/>
      <c r="C13" s="568" t="s">
        <v>3524</v>
      </c>
      <c r="D13" s="568">
        <v>22027710000351</v>
      </c>
      <c r="E13" s="825"/>
      <c r="F13" s="569">
        <v>30</v>
      </c>
      <c r="G13" s="570">
        <v>12501</v>
      </c>
      <c r="H13" s="500"/>
      <c r="I13" s="526">
        <v>4751</v>
      </c>
    </row>
    <row r="14" spans="1:9" ht="14">
      <c r="A14" s="813"/>
      <c r="B14" s="819"/>
      <c r="C14" s="568" t="s">
        <v>3525</v>
      </c>
      <c r="D14" s="568">
        <v>22027710000350</v>
      </c>
      <c r="E14" s="825"/>
      <c r="F14" s="569">
        <v>35</v>
      </c>
      <c r="G14" s="570">
        <v>12865</v>
      </c>
      <c r="H14" s="500"/>
      <c r="I14" s="526">
        <v>4889</v>
      </c>
    </row>
    <row r="15" spans="1:9" ht="14">
      <c r="A15" s="813"/>
      <c r="B15" s="819"/>
      <c r="C15" s="568" t="s">
        <v>1169</v>
      </c>
      <c r="D15" s="568">
        <v>22027710000029</v>
      </c>
      <c r="E15" s="825"/>
      <c r="F15" s="569">
        <v>44</v>
      </c>
      <c r="G15" s="570">
        <v>17733</v>
      </c>
      <c r="H15" s="500"/>
      <c r="I15" s="526">
        <v>6739</v>
      </c>
    </row>
    <row r="16" spans="1:9" ht="14">
      <c r="A16" s="813"/>
      <c r="B16" s="819"/>
      <c r="C16" s="568" t="s">
        <v>1171</v>
      </c>
      <c r="D16" s="568">
        <v>22027710000222</v>
      </c>
      <c r="E16" s="825"/>
      <c r="F16" s="569">
        <v>53</v>
      </c>
      <c r="G16" s="570">
        <v>22191</v>
      </c>
      <c r="H16" s="500"/>
      <c r="I16" s="526">
        <v>8433</v>
      </c>
    </row>
    <row r="17" spans="1:9" ht="14">
      <c r="A17" s="813"/>
      <c r="B17" s="819"/>
      <c r="C17" s="568" t="s">
        <v>1173</v>
      </c>
      <c r="D17" s="568">
        <v>22027710000094</v>
      </c>
      <c r="E17" s="825"/>
      <c r="F17" s="569">
        <v>62</v>
      </c>
      <c r="G17" s="570">
        <v>24756</v>
      </c>
      <c r="H17" s="500"/>
      <c r="I17" s="526">
        <v>9408</v>
      </c>
    </row>
    <row r="18" spans="1:9" ht="14">
      <c r="A18" s="813"/>
      <c r="B18" s="819"/>
      <c r="C18" s="568" t="s">
        <v>1175</v>
      </c>
      <c r="D18" s="568">
        <v>22027710000224</v>
      </c>
      <c r="E18" s="825"/>
      <c r="F18" s="569">
        <v>70</v>
      </c>
      <c r="G18" s="570">
        <v>27879</v>
      </c>
      <c r="H18" s="500"/>
      <c r="I18" s="526">
        <v>10595</v>
      </c>
    </row>
    <row r="19" spans="1:9" ht="14">
      <c r="A19" s="813"/>
      <c r="B19" s="819"/>
      <c r="C19" s="569" t="s">
        <v>1177</v>
      </c>
      <c r="D19" s="568">
        <v>22027710000364</v>
      </c>
      <c r="E19" s="825"/>
      <c r="F19" s="569">
        <v>88</v>
      </c>
      <c r="G19" s="570">
        <v>32137</v>
      </c>
      <c r="H19" s="500"/>
      <c r="I19" s="526">
        <v>12213</v>
      </c>
    </row>
    <row r="20" spans="1:9" ht="14">
      <c r="A20" s="814"/>
      <c r="B20" s="820"/>
      <c r="C20" s="569" t="s">
        <v>1179</v>
      </c>
      <c r="D20" s="568">
        <v>22027710000363</v>
      </c>
      <c r="E20" s="826"/>
      <c r="F20" s="569">
        <v>105</v>
      </c>
      <c r="G20" s="570">
        <v>42517</v>
      </c>
      <c r="H20" s="500"/>
      <c r="I20" s="526">
        <v>16157</v>
      </c>
    </row>
    <row r="21" spans="1:9" ht="16">
      <c r="A21" s="45"/>
      <c r="B21" s="45"/>
      <c r="C21" s="46"/>
      <c r="D21" s="46"/>
      <c r="E21" s="46"/>
      <c r="F21" s="46"/>
    </row>
    <row r="23" spans="1:9" ht="16">
      <c r="A23" s="47"/>
    </row>
    <row r="24" spans="1:9" ht="16">
      <c r="A24" s="48"/>
      <c r="B24" s="46"/>
      <c r="C24" s="46"/>
      <c r="D24" s="46"/>
    </row>
    <row r="25" spans="1:9" ht="16">
      <c r="A25" s="49"/>
      <c r="B25" s="46"/>
      <c r="C25" s="46"/>
      <c r="D25" s="46"/>
    </row>
    <row r="26" spans="1:9" ht="16">
      <c r="A26" s="49"/>
      <c r="B26" s="46"/>
      <c r="C26" s="46"/>
      <c r="D26" s="46"/>
    </row>
    <row r="27" spans="1:9" ht="16">
      <c r="A27" s="49"/>
      <c r="B27" s="46"/>
      <c r="C27" s="46"/>
      <c r="D27" s="46"/>
    </row>
    <row r="28" spans="1:9" ht="16">
      <c r="A28" s="49"/>
      <c r="B28" s="46"/>
      <c r="C28" s="46"/>
      <c r="D28" s="46"/>
    </row>
    <row r="29" spans="1:9" ht="16">
      <c r="A29" s="49"/>
      <c r="B29" s="46"/>
      <c r="C29" s="46"/>
      <c r="D29" s="46"/>
    </row>
    <row r="30" spans="1:9" ht="16">
      <c r="A30" s="49"/>
      <c r="B30" s="46"/>
      <c r="C30" s="46"/>
      <c r="D30" s="46"/>
    </row>
    <row r="31" spans="1:9" ht="16">
      <c r="A31" s="49"/>
      <c r="B31" s="46"/>
      <c r="C31" s="46"/>
      <c r="D31" s="46"/>
    </row>
    <row r="32" spans="1:9" ht="16">
      <c r="A32" s="47"/>
      <c r="B32" s="46"/>
      <c r="C32" s="46"/>
      <c r="D32" s="46"/>
    </row>
    <row r="33" spans="1:4" ht="16">
      <c r="A33" s="47"/>
      <c r="B33" s="46"/>
      <c r="C33" s="46"/>
      <c r="D33" s="46"/>
    </row>
    <row r="34" spans="1:4" ht="18">
      <c r="A34" s="50"/>
      <c r="B34" s="46"/>
      <c r="C34" s="46"/>
      <c r="D34" s="46"/>
    </row>
    <row r="35" spans="1:4" ht="16">
      <c r="A35" s="46"/>
      <c r="B35" s="46"/>
      <c r="C35" s="46"/>
      <c r="D35" s="46"/>
    </row>
    <row r="36" spans="1:4" ht="16">
      <c r="A36" s="46"/>
      <c r="B36" s="46"/>
      <c r="C36" s="46"/>
      <c r="D36" s="46"/>
    </row>
  </sheetData>
  <mergeCells count="5">
    <mergeCell ref="A3:A20"/>
    <mergeCell ref="B3:B10"/>
    <mergeCell ref="B11:B20"/>
    <mergeCell ref="E3:E10"/>
    <mergeCell ref="E11:E20"/>
  </mergeCells>
  <phoneticPr fontId="46" type="noConversion"/>
  <pageMargins left="0.15972222222222199" right="0.16944444444444401" top="0.30972222222222201" bottom="0.33958333333333302" header="0.219444444444444" footer="0.219444444444444"/>
  <pageSetup paperSize="9" scale="65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73"/>
  <sheetViews>
    <sheetView zoomScale="90" zoomScaleNormal="90" workbookViewId="0">
      <selection activeCell="J21" sqref="J21"/>
    </sheetView>
  </sheetViews>
  <sheetFormatPr baseColWidth="10" defaultColWidth="8.6640625" defaultRowHeight="15"/>
  <cols>
    <col min="1" max="1" width="17.6640625" customWidth="1"/>
    <col min="3" max="4" width="20.6640625" customWidth="1"/>
    <col min="5" max="5" width="27.6640625" customWidth="1"/>
    <col min="6" max="6" width="20" customWidth="1"/>
    <col min="7" max="7" width="31.6640625" style="1" customWidth="1"/>
    <col min="9" max="9" width="8.6640625" style="2"/>
    <col min="10" max="10" width="30.6640625" customWidth="1"/>
    <col min="11" max="11" width="34.1640625" customWidth="1"/>
  </cols>
  <sheetData>
    <row r="1" spans="1:11" ht="28">
      <c r="A1" s="3" t="s">
        <v>2236</v>
      </c>
      <c r="B1" s="3" t="s">
        <v>2405</v>
      </c>
      <c r="C1" s="4" t="s">
        <v>3526</v>
      </c>
      <c r="D1" s="5" t="s">
        <v>3527</v>
      </c>
      <c r="E1" s="4"/>
      <c r="F1" s="4" t="s">
        <v>2406</v>
      </c>
      <c r="G1" s="4" t="s">
        <v>2407</v>
      </c>
      <c r="H1" s="3" t="s">
        <v>2408</v>
      </c>
      <c r="I1" s="15" t="s">
        <v>2409</v>
      </c>
      <c r="J1" s="16" t="s">
        <v>2410</v>
      </c>
      <c r="K1" s="17"/>
    </row>
    <row r="2" spans="1:11" ht="15" customHeight="1">
      <c r="A2" s="829" t="s">
        <v>2411</v>
      </c>
      <c r="B2" s="829" t="s">
        <v>2412</v>
      </c>
      <c r="C2" s="7" t="s">
        <v>3528</v>
      </c>
      <c r="D2" s="8" t="s">
        <v>2413</v>
      </c>
      <c r="E2" s="9" t="s">
        <v>2414</v>
      </c>
      <c r="F2" s="7">
        <v>22027020002389</v>
      </c>
      <c r="G2" s="830" t="s">
        <v>3529</v>
      </c>
      <c r="H2" s="10">
        <v>25.2</v>
      </c>
      <c r="I2" s="18">
        <v>20665</v>
      </c>
      <c r="J2" s="17"/>
      <c r="K2" s="19"/>
    </row>
    <row r="3" spans="1:11">
      <c r="A3" s="855"/>
      <c r="B3" s="829"/>
      <c r="C3" s="7" t="s">
        <v>3530</v>
      </c>
      <c r="D3" s="8" t="s">
        <v>2416</v>
      </c>
      <c r="E3" s="9" t="s">
        <v>2417</v>
      </c>
      <c r="F3" s="7">
        <v>22027020002392</v>
      </c>
      <c r="G3" s="831"/>
      <c r="H3" s="10">
        <v>28</v>
      </c>
      <c r="I3" s="18">
        <v>21296</v>
      </c>
      <c r="J3" s="17"/>
      <c r="K3" s="17"/>
    </row>
    <row r="4" spans="1:11">
      <c r="A4" s="855"/>
      <c r="B4" s="829"/>
      <c r="C4" s="7" t="s">
        <v>3531</v>
      </c>
      <c r="D4" s="8" t="s">
        <v>2418</v>
      </c>
      <c r="E4" s="9" t="s">
        <v>2419</v>
      </c>
      <c r="F4" s="7">
        <v>22027020002305</v>
      </c>
      <c r="G4" s="831"/>
      <c r="H4" s="10">
        <v>33.5</v>
      </c>
      <c r="I4" s="18">
        <v>23659</v>
      </c>
      <c r="J4" s="17"/>
      <c r="K4" s="17"/>
    </row>
    <row r="5" spans="1:11">
      <c r="A5" s="855"/>
      <c r="B5" s="829"/>
      <c r="C5" s="7" t="s">
        <v>3532</v>
      </c>
      <c r="D5" s="8" t="s">
        <v>2420</v>
      </c>
      <c r="E5" s="9" t="s">
        <v>2421</v>
      </c>
      <c r="F5" s="7">
        <v>22027020002397</v>
      </c>
      <c r="G5" s="831"/>
      <c r="H5" s="10">
        <v>40</v>
      </c>
      <c r="I5" s="18">
        <v>27665</v>
      </c>
      <c r="J5" s="17"/>
      <c r="K5" s="17"/>
    </row>
    <row r="6" spans="1:11">
      <c r="A6" s="855"/>
      <c r="B6" s="829"/>
      <c r="C6" s="7" t="s">
        <v>3533</v>
      </c>
      <c r="D6" s="8" t="s">
        <v>2422</v>
      </c>
      <c r="E6" s="9" t="s">
        <v>2423</v>
      </c>
      <c r="F6" s="7">
        <v>22027020002391</v>
      </c>
      <c r="G6" s="831"/>
      <c r="H6" s="10">
        <v>45</v>
      </c>
      <c r="I6" s="18">
        <v>28877</v>
      </c>
      <c r="J6" s="17"/>
      <c r="K6" s="17"/>
    </row>
    <row r="7" spans="1:11">
      <c r="A7" s="855"/>
      <c r="B7" s="829"/>
      <c r="C7" s="7" t="s">
        <v>3534</v>
      </c>
      <c r="D7" s="8" t="s">
        <v>2424</v>
      </c>
      <c r="E7" s="9" t="s">
        <v>2425</v>
      </c>
      <c r="F7" s="7">
        <v>22027020002265</v>
      </c>
      <c r="G7" s="831"/>
      <c r="H7" s="10">
        <v>50</v>
      </c>
      <c r="I7" s="18">
        <v>34597</v>
      </c>
      <c r="J7" s="17"/>
      <c r="K7" s="17"/>
    </row>
    <row r="8" spans="1:11">
      <c r="A8" s="855"/>
      <c r="B8" s="829"/>
      <c r="C8" s="7" t="s">
        <v>3535</v>
      </c>
      <c r="D8" s="8" t="s">
        <v>2426</v>
      </c>
      <c r="E8" s="9" t="s">
        <v>2427</v>
      </c>
      <c r="F8" s="7">
        <v>22027020002347</v>
      </c>
      <c r="G8" s="831"/>
      <c r="H8" s="10">
        <v>56</v>
      </c>
      <c r="I8" s="18">
        <v>35493</v>
      </c>
      <c r="J8" s="17"/>
      <c r="K8" s="17"/>
    </row>
    <row r="9" spans="1:11">
      <c r="A9" s="855"/>
      <c r="B9" s="829"/>
      <c r="C9" s="7" t="s">
        <v>3536</v>
      </c>
      <c r="D9" s="8" t="s">
        <v>2428</v>
      </c>
      <c r="E9" s="9" t="s">
        <v>2429</v>
      </c>
      <c r="F9" s="7">
        <v>22027020002346</v>
      </c>
      <c r="G9" s="831"/>
      <c r="H9" s="10">
        <v>61.5</v>
      </c>
      <c r="I9" s="18">
        <v>37889</v>
      </c>
      <c r="J9" s="17"/>
      <c r="K9" s="17"/>
    </row>
    <row r="10" spans="1:11">
      <c r="A10" s="855"/>
      <c r="B10" s="829"/>
      <c r="C10" s="7" t="s">
        <v>3537</v>
      </c>
      <c r="D10" s="8" t="s">
        <v>2430</v>
      </c>
      <c r="E10" s="9" t="s">
        <v>2431</v>
      </c>
      <c r="F10" s="7">
        <v>22027020002345</v>
      </c>
      <c r="G10" s="831"/>
      <c r="H10" s="10">
        <v>67</v>
      </c>
      <c r="I10" s="18">
        <v>42614</v>
      </c>
      <c r="J10" s="17"/>
      <c r="K10" s="17"/>
    </row>
    <row r="11" spans="1:11">
      <c r="A11" s="855"/>
      <c r="B11" s="829"/>
      <c r="C11" s="7" t="s">
        <v>3538</v>
      </c>
      <c r="D11" s="8" t="s">
        <v>2432</v>
      </c>
      <c r="E11" s="9" t="s">
        <v>2433</v>
      </c>
      <c r="F11" s="7">
        <v>22027020002365</v>
      </c>
      <c r="G11" s="831"/>
      <c r="H11" s="10">
        <v>73</v>
      </c>
      <c r="I11" s="18">
        <v>44593</v>
      </c>
      <c r="J11" s="17"/>
      <c r="K11" s="17"/>
    </row>
    <row r="12" spans="1:11">
      <c r="A12" s="855"/>
      <c r="B12" s="829"/>
      <c r="C12" s="7" t="s">
        <v>3539</v>
      </c>
      <c r="D12" s="8" t="s">
        <v>2434</v>
      </c>
      <c r="E12" s="9" t="s">
        <v>2435</v>
      </c>
      <c r="F12" s="7">
        <v>22027020002286</v>
      </c>
      <c r="G12" s="831"/>
      <c r="H12" s="10">
        <v>78.5</v>
      </c>
      <c r="I12" s="18">
        <v>46667</v>
      </c>
      <c r="J12" s="17"/>
      <c r="K12" s="17"/>
    </row>
    <row r="13" spans="1:11">
      <c r="A13" s="855"/>
      <c r="B13" s="829"/>
      <c r="C13" s="7" t="s">
        <v>3540</v>
      </c>
      <c r="D13" s="8" t="s">
        <v>2436</v>
      </c>
      <c r="E13" s="9" t="s">
        <v>2437</v>
      </c>
      <c r="F13" s="7">
        <v>22027020002285</v>
      </c>
      <c r="G13" s="831"/>
      <c r="H13" s="10">
        <v>85</v>
      </c>
      <c r="I13" s="18">
        <v>50334</v>
      </c>
      <c r="J13" s="17"/>
      <c r="K13" s="17"/>
    </row>
    <row r="14" spans="1:11">
      <c r="A14" s="855"/>
      <c r="B14" s="829"/>
      <c r="C14" s="7" t="s">
        <v>3541</v>
      </c>
      <c r="D14" s="8" t="s">
        <v>2438</v>
      </c>
      <c r="E14" s="9" t="s">
        <v>2439</v>
      </c>
      <c r="F14" s="7">
        <v>22027020002393</v>
      </c>
      <c r="G14" s="831"/>
      <c r="H14" s="10">
        <v>90</v>
      </c>
      <c r="I14" s="18">
        <v>50732</v>
      </c>
      <c r="J14" s="17"/>
      <c r="K14" s="17"/>
    </row>
    <row r="15" spans="1:11">
      <c r="A15" s="855"/>
      <c r="B15" s="829"/>
      <c r="C15" s="7" t="s">
        <v>3542</v>
      </c>
      <c r="D15" s="8" t="s">
        <v>2440</v>
      </c>
      <c r="E15" s="9" t="s">
        <v>2441</v>
      </c>
      <c r="F15" s="7">
        <v>22027020002390</v>
      </c>
      <c r="G15" s="831"/>
      <c r="H15" s="10">
        <v>95</v>
      </c>
      <c r="I15" s="18">
        <v>52543</v>
      </c>
      <c r="J15" s="17"/>
      <c r="K15" s="17"/>
    </row>
    <row r="16" spans="1:11">
      <c r="A16" s="855"/>
      <c r="B16" s="829"/>
      <c r="C16" s="7" t="s">
        <v>3543</v>
      </c>
      <c r="D16" s="8" t="s">
        <v>2442</v>
      </c>
      <c r="E16" s="9" t="s">
        <v>2443</v>
      </c>
      <c r="F16" s="7">
        <v>22027020002386</v>
      </c>
      <c r="G16" s="831"/>
      <c r="H16" s="10">
        <v>101</v>
      </c>
      <c r="I16" s="18">
        <v>53165</v>
      </c>
      <c r="J16" s="17"/>
      <c r="K16" s="17"/>
    </row>
    <row r="17" spans="1:11">
      <c r="A17" s="855"/>
      <c r="B17" s="829"/>
      <c r="C17" s="7" t="s">
        <v>3544</v>
      </c>
      <c r="D17" s="8" t="s">
        <v>2444</v>
      </c>
      <c r="E17" s="9" t="s">
        <v>2445</v>
      </c>
      <c r="F17" s="7">
        <v>22027020002425</v>
      </c>
      <c r="G17" s="831"/>
      <c r="H17" s="10">
        <v>106</v>
      </c>
      <c r="I17" s="18">
        <v>57342</v>
      </c>
      <c r="J17" s="17"/>
      <c r="K17" s="17"/>
    </row>
    <row r="18" spans="1:11">
      <c r="A18" s="855"/>
      <c r="B18" s="829"/>
      <c r="C18" s="7" t="s">
        <v>3545</v>
      </c>
      <c r="D18" s="8" t="s">
        <v>2446</v>
      </c>
      <c r="E18" s="9" t="s">
        <v>2447</v>
      </c>
      <c r="F18" s="7">
        <v>22027020002325</v>
      </c>
      <c r="G18" s="832"/>
      <c r="H18" s="10">
        <v>112</v>
      </c>
      <c r="I18" s="18">
        <v>58653</v>
      </c>
      <c r="J18" s="17"/>
      <c r="K18" s="17"/>
    </row>
    <row r="19" spans="1:11" ht="18.75" customHeight="1">
      <c r="A19" s="829" t="s">
        <v>2448</v>
      </c>
      <c r="B19" s="829" t="s">
        <v>2412</v>
      </c>
      <c r="C19" s="7" t="s">
        <v>3546</v>
      </c>
      <c r="D19" s="8" t="s">
        <v>2449</v>
      </c>
      <c r="E19" s="9" t="s">
        <v>2450</v>
      </c>
      <c r="F19" s="7">
        <v>22027020002647</v>
      </c>
      <c r="G19" s="833" t="s">
        <v>3529</v>
      </c>
      <c r="H19" s="10">
        <v>25.2</v>
      </c>
      <c r="I19" s="18">
        <v>17009</v>
      </c>
      <c r="J19" s="17"/>
      <c r="K19" s="19"/>
    </row>
    <row r="20" spans="1:11">
      <c r="A20" s="855"/>
      <c r="B20" s="829"/>
      <c r="C20" s="7" t="s">
        <v>3547</v>
      </c>
      <c r="D20" s="8" t="s">
        <v>2451</v>
      </c>
      <c r="E20" s="9" t="s">
        <v>2452</v>
      </c>
      <c r="F20" s="7">
        <v>22027020002633</v>
      </c>
      <c r="G20" s="834"/>
      <c r="H20" s="10">
        <v>28</v>
      </c>
      <c r="I20" s="18">
        <v>17326</v>
      </c>
      <c r="J20" s="17"/>
      <c r="K20" s="17"/>
    </row>
    <row r="21" spans="1:11">
      <c r="A21" s="855"/>
      <c r="B21" s="829"/>
      <c r="C21" s="7" t="s">
        <v>3548</v>
      </c>
      <c r="D21" s="8" t="s">
        <v>2453</v>
      </c>
      <c r="E21" s="9" t="s">
        <v>2454</v>
      </c>
      <c r="F21" s="7">
        <v>22027020002646</v>
      </c>
      <c r="G21" s="834"/>
      <c r="H21" s="10">
        <v>33.5</v>
      </c>
      <c r="I21" s="18">
        <v>19897</v>
      </c>
      <c r="J21" s="17"/>
      <c r="K21" s="17"/>
    </row>
    <row r="22" spans="1:11">
      <c r="A22" s="855"/>
      <c r="B22" s="829"/>
      <c r="C22" s="7" t="s">
        <v>3549</v>
      </c>
      <c r="D22" s="8" t="s">
        <v>2455</v>
      </c>
      <c r="E22" s="9" t="s">
        <v>2456</v>
      </c>
      <c r="F22" s="7">
        <v>22027020002637</v>
      </c>
      <c r="G22" s="834"/>
      <c r="H22" s="10">
        <v>40</v>
      </c>
      <c r="I22" s="18">
        <v>23269</v>
      </c>
      <c r="J22" s="17"/>
      <c r="K22" s="17"/>
    </row>
    <row r="23" spans="1:11">
      <c r="A23" s="855"/>
      <c r="B23" s="829"/>
      <c r="C23" s="7" t="s">
        <v>3550</v>
      </c>
      <c r="D23" s="8" t="s">
        <v>2457</v>
      </c>
      <c r="E23" s="9" t="s">
        <v>2458</v>
      </c>
      <c r="F23" s="7">
        <v>22027020002623</v>
      </c>
      <c r="G23" s="834"/>
      <c r="H23" s="10">
        <v>45</v>
      </c>
      <c r="I23" s="18">
        <v>23639</v>
      </c>
      <c r="J23" s="17"/>
      <c r="K23" s="17"/>
    </row>
    <row r="24" spans="1:11">
      <c r="A24" s="855"/>
      <c r="B24" s="829"/>
      <c r="C24" s="7" t="s">
        <v>3551</v>
      </c>
      <c r="D24" s="8" t="s">
        <v>2459</v>
      </c>
      <c r="E24" s="9" t="s">
        <v>2460</v>
      </c>
      <c r="F24" s="7">
        <v>22027020002645</v>
      </c>
      <c r="G24" s="834"/>
      <c r="H24" s="10">
        <v>50</v>
      </c>
      <c r="I24" s="18">
        <v>26331</v>
      </c>
      <c r="J24" s="17"/>
      <c r="K24" s="17"/>
    </row>
    <row r="25" spans="1:11">
      <c r="A25" s="855"/>
      <c r="B25" s="829"/>
      <c r="C25" s="7" t="s">
        <v>3552</v>
      </c>
      <c r="D25" s="8" t="s">
        <v>2461</v>
      </c>
      <c r="E25" s="9" t="s">
        <v>2462</v>
      </c>
      <c r="F25" s="7">
        <v>22027020002629</v>
      </c>
      <c r="G25" s="834"/>
      <c r="H25" s="10">
        <v>56</v>
      </c>
      <c r="I25" s="18">
        <v>27900</v>
      </c>
      <c r="J25" s="17"/>
      <c r="K25" s="17"/>
    </row>
    <row r="26" spans="1:11">
      <c r="A26" s="855"/>
      <c r="B26" s="829"/>
      <c r="C26" s="7" t="s">
        <v>3553</v>
      </c>
      <c r="D26" s="8" t="s">
        <v>2463</v>
      </c>
      <c r="E26" s="9" t="s">
        <v>2464</v>
      </c>
      <c r="F26" s="7">
        <v>22027020002630</v>
      </c>
      <c r="G26" s="834"/>
      <c r="H26" s="10">
        <v>61.5</v>
      </c>
      <c r="I26" s="18">
        <v>30410</v>
      </c>
      <c r="J26" s="17"/>
      <c r="K26" s="17"/>
    </row>
    <row r="27" spans="1:11">
      <c r="A27" s="855"/>
      <c r="B27" s="829"/>
      <c r="C27" s="7" t="s">
        <v>3554</v>
      </c>
      <c r="D27" s="8" t="s">
        <v>2465</v>
      </c>
      <c r="E27" s="9" t="s">
        <v>2466</v>
      </c>
      <c r="F27" s="7">
        <v>22027020002627</v>
      </c>
      <c r="G27" s="834"/>
      <c r="H27" s="10">
        <v>67</v>
      </c>
      <c r="I27" s="18">
        <v>33305</v>
      </c>
      <c r="J27" s="17"/>
      <c r="K27" s="17"/>
    </row>
    <row r="28" spans="1:11">
      <c r="A28" s="855"/>
      <c r="B28" s="829"/>
      <c r="C28" s="7" t="s">
        <v>3555</v>
      </c>
      <c r="D28" s="8" t="s">
        <v>2467</v>
      </c>
      <c r="E28" s="9" t="s">
        <v>2468</v>
      </c>
      <c r="F28" s="7">
        <v>22027020002608</v>
      </c>
      <c r="G28" s="834"/>
      <c r="H28" s="10">
        <v>73</v>
      </c>
      <c r="I28" s="18">
        <v>41820</v>
      </c>
      <c r="J28" s="17"/>
      <c r="K28" s="17"/>
    </row>
    <row r="29" spans="1:11">
      <c r="A29" s="855"/>
      <c r="B29" s="829"/>
      <c r="C29" s="7" t="s">
        <v>3556</v>
      </c>
      <c r="D29" s="8" t="s">
        <v>2469</v>
      </c>
      <c r="E29" s="9" t="s">
        <v>2470</v>
      </c>
      <c r="F29" s="7">
        <v>22027020002609</v>
      </c>
      <c r="G29" s="834"/>
      <c r="H29" s="10">
        <v>78.5</v>
      </c>
      <c r="I29" s="18">
        <v>42156</v>
      </c>
      <c r="J29" s="17"/>
      <c r="K29" s="17"/>
    </row>
    <row r="30" spans="1:11">
      <c r="A30" s="855"/>
      <c r="B30" s="829"/>
      <c r="C30" s="7" t="s">
        <v>3557</v>
      </c>
      <c r="D30" s="8" t="s">
        <v>2471</v>
      </c>
      <c r="E30" s="9" t="s">
        <v>2472</v>
      </c>
      <c r="F30" s="7">
        <v>22027020002619</v>
      </c>
      <c r="G30" s="834"/>
      <c r="H30" s="10">
        <v>85</v>
      </c>
      <c r="I30" s="18">
        <v>43529</v>
      </c>
      <c r="J30" s="17"/>
      <c r="K30" s="17"/>
    </row>
    <row r="31" spans="1:11">
      <c r="A31" s="855"/>
      <c r="B31" s="829"/>
      <c r="C31" s="7" t="s">
        <v>3558</v>
      </c>
      <c r="D31" s="8" t="s">
        <v>2473</v>
      </c>
      <c r="E31" s="9" t="s">
        <v>2474</v>
      </c>
      <c r="F31" s="7">
        <v>22027020002618</v>
      </c>
      <c r="G31" s="834"/>
      <c r="H31" s="10">
        <v>90</v>
      </c>
      <c r="I31" s="18">
        <v>46303</v>
      </c>
      <c r="J31" s="17"/>
      <c r="K31" s="17"/>
    </row>
    <row r="32" spans="1:11">
      <c r="A32" s="855"/>
      <c r="B32" s="829"/>
      <c r="C32" s="7" t="s">
        <v>3559</v>
      </c>
      <c r="D32" s="8" t="s">
        <v>2475</v>
      </c>
      <c r="E32" s="9" t="s">
        <v>2476</v>
      </c>
      <c r="F32" s="7">
        <v>22027020002626</v>
      </c>
      <c r="G32" s="834"/>
      <c r="H32" s="10">
        <v>95</v>
      </c>
      <c r="I32" s="18">
        <v>47109</v>
      </c>
      <c r="J32" s="17"/>
      <c r="K32" s="17"/>
    </row>
    <row r="33" spans="1:11">
      <c r="A33" s="855"/>
      <c r="B33" s="829"/>
      <c r="C33" s="7" t="s">
        <v>3560</v>
      </c>
      <c r="D33" s="8" t="s">
        <v>2477</v>
      </c>
      <c r="E33" s="9" t="s">
        <v>2478</v>
      </c>
      <c r="F33" s="7">
        <v>22027020002611</v>
      </c>
      <c r="G33" s="834"/>
      <c r="H33" s="10">
        <v>101</v>
      </c>
      <c r="I33" s="18">
        <v>49221</v>
      </c>
      <c r="J33" s="17"/>
      <c r="K33" s="17"/>
    </row>
    <row r="34" spans="1:11">
      <c r="A34" s="855"/>
      <c r="B34" s="829"/>
      <c r="C34" s="7" t="s">
        <v>3561</v>
      </c>
      <c r="D34" s="8" t="s">
        <v>2479</v>
      </c>
      <c r="E34" s="9" t="s">
        <v>2480</v>
      </c>
      <c r="F34" s="7">
        <v>22027020002616</v>
      </c>
      <c r="G34" s="834"/>
      <c r="H34" s="10">
        <v>106</v>
      </c>
      <c r="I34" s="18">
        <v>51244</v>
      </c>
      <c r="J34" s="17"/>
      <c r="K34" s="17"/>
    </row>
    <row r="35" spans="1:11">
      <c r="A35" s="855"/>
      <c r="B35" s="829"/>
      <c r="C35" s="7" t="s">
        <v>3562</v>
      </c>
      <c r="D35" s="8" t="s">
        <v>2481</v>
      </c>
      <c r="E35" s="9" t="s">
        <v>2482</v>
      </c>
      <c r="F35" s="7">
        <v>22027020002625</v>
      </c>
      <c r="G35" s="834"/>
      <c r="H35" s="10">
        <v>112</v>
      </c>
      <c r="I35" s="18">
        <v>52765</v>
      </c>
      <c r="J35" s="17"/>
      <c r="K35" s="17"/>
    </row>
    <row r="36" spans="1:11" ht="15" customHeight="1">
      <c r="A36" s="855"/>
      <c r="B36" s="829"/>
      <c r="C36" s="7" t="s">
        <v>3563</v>
      </c>
      <c r="D36" s="8" t="s">
        <v>2483</v>
      </c>
      <c r="E36" s="11"/>
      <c r="F36" s="7">
        <v>22027020002614</v>
      </c>
      <c r="G36" s="834"/>
      <c r="H36" s="10">
        <v>117</v>
      </c>
      <c r="I36" s="18">
        <v>53421</v>
      </c>
      <c r="J36" s="17"/>
      <c r="K36" s="17"/>
    </row>
    <row r="37" spans="1:11" ht="15" customHeight="1">
      <c r="A37" s="856" t="s">
        <v>3564</v>
      </c>
      <c r="B37" s="829" t="s">
        <v>2412</v>
      </c>
      <c r="C37" s="7" t="s">
        <v>3565</v>
      </c>
      <c r="D37" s="12" t="s">
        <v>2500</v>
      </c>
      <c r="E37" s="11"/>
      <c r="F37" s="7">
        <v>22027020002412</v>
      </c>
      <c r="G37" s="834" t="s">
        <v>3566</v>
      </c>
      <c r="H37" s="10">
        <v>25.2</v>
      </c>
      <c r="I37" s="18">
        <v>18888</v>
      </c>
      <c r="J37" s="17"/>
      <c r="K37" s="19"/>
    </row>
    <row r="38" spans="1:11">
      <c r="A38" s="857"/>
      <c r="B38" s="829"/>
      <c r="C38" s="7" t="s">
        <v>3567</v>
      </c>
      <c r="D38" s="12" t="s">
        <v>2503</v>
      </c>
      <c r="E38" s="11"/>
      <c r="F38" s="7">
        <v>22027020002413</v>
      </c>
      <c r="G38" s="835"/>
      <c r="H38" s="10">
        <v>28</v>
      </c>
      <c r="I38" s="18">
        <v>20092</v>
      </c>
      <c r="J38" s="17"/>
      <c r="K38" s="17"/>
    </row>
    <row r="39" spans="1:11">
      <c r="A39" s="857"/>
      <c r="B39" s="829"/>
      <c r="C39" s="7" t="s">
        <v>3568</v>
      </c>
      <c r="D39" s="12" t="s">
        <v>2505</v>
      </c>
      <c r="E39" s="11"/>
      <c r="F39" s="7">
        <v>22027020002410</v>
      </c>
      <c r="G39" s="835"/>
      <c r="H39" s="10">
        <v>33.5</v>
      </c>
      <c r="I39" s="18">
        <v>22239</v>
      </c>
      <c r="J39" s="17"/>
      <c r="K39" s="17"/>
    </row>
    <row r="40" spans="1:11">
      <c r="A40" s="857"/>
      <c r="B40" s="829"/>
      <c r="C40" s="7" t="s">
        <v>3569</v>
      </c>
      <c r="D40" s="12" t="s">
        <v>2507</v>
      </c>
      <c r="E40" s="11"/>
      <c r="F40" s="7">
        <v>22027020002407</v>
      </c>
      <c r="G40" s="835"/>
      <c r="H40" s="10">
        <v>40</v>
      </c>
      <c r="I40" s="18">
        <v>24313</v>
      </c>
      <c r="J40" s="17"/>
      <c r="K40" s="17"/>
    </row>
    <row r="41" spans="1:11">
      <c r="A41" s="857"/>
      <c r="B41" s="829"/>
      <c r="C41" s="7" t="s">
        <v>3570</v>
      </c>
      <c r="D41" s="12" t="s">
        <v>2509</v>
      </c>
      <c r="E41" s="11"/>
      <c r="F41" s="7">
        <v>22027020002408</v>
      </c>
      <c r="G41" s="835"/>
      <c r="H41" s="10">
        <v>45</v>
      </c>
      <c r="I41" s="18">
        <v>26280</v>
      </c>
      <c r="J41" s="17"/>
      <c r="K41" s="17"/>
    </row>
    <row r="42" spans="1:11">
      <c r="A42" s="857"/>
      <c r="B42" s="829"/>
      <c r="C42" s="7" t="s">
        <v>3571</v>
      </c>
      <c r="D42" s="12" t="s">
        <v>2511</v>
      </c>
      <c r="E42" s="11"/>
      <c r="F42" s="7">
        <v>22027020002411</v>
      </c>
      <c r="G42" s="835"/>
      <c r="H42" s="10">
        <v>50</v>
      </c>
      <c r="I42" s="18">
        <v>28567</v>
      </c>
      <c r="J42" s="17"/>
      <c r="K42" s="17"/>
    </row>
    <row r="43" spans="1:11">
      <c r="A43" s="857"/>
      <c r="B43" s="829"/>
      <c r="C43" s="7" t="s">
        <v>3572</v>
      </c>
      <c r="D43" s="12" t="s">
        <v>2513</v>
      </c>
      <c r="E43" s="11"/>
      <c r="F43" s="7">
        <v>22027020002406</v>
      </c>
      <c r="G43" s="835"/>
      <c r="H43" s="10">
        <v>56</v>
      </c>
      <c r="I43" s="18">
        <v>32075</v>
      </c>
      <c r="J43" s="17"/>
      <c r="K43" s="17"/>
    </row>
    <row r="44" spans="1:11">
      <c r="A44" s="857"/>
      <c r="B44" s="829"/>
      <c r="C44" s="7" t="s">
        <v>3573</v>
      </c>
      <c r="D44" s="12" t="s">
        <v>2515</v>
      </c>
      <c r="E44" s="11"/>
      <c r="F44" s="7">
        <v>22027020002405</v>
      </c>
      <c r="G44" s="835"/>
      <c r="H44" s="10">
        <v>61.5</v>
      </c>
      <c r="I44" s="18">
        <v>34079</v>
      </c>
      <c r="J44" s="17"/>
      <c r="K44" s="17"/>
    </row>
    <row r="45" spans="1:11">
      <c r="A45" s="857"/>
      <c r="B45" s="829"/>
      <c r="C45" s="7" t="s">
        <v>3574</v>
      </c>
      <c r="D45" s="12" t="s">
        <v>2517</v>
      </c>
      <c r="E45" s="11"/>
      <c r="F45" s="7">
        <v>22027020002409</v>
      </c>
      <c r="G45" s="836"/>
      <c r="H45" s="10">
        <v>67</v>
      </c>
      <c r="I45" s="18">
        <v>37220</v>
      </c>
      <c r="J45" s="17"/>
      <c r="K45" s="17"/>
    </row>
    <row r="46" spans="1:11" ht="15" customHeight="1">
      <c r="A46" s="829" t="s">
        <v>2519</v>
      </c>
      <c r="B46" s="829" t="s">
        <v>2412</v>
      </c>
      <c r="C46" s="7" t="s">
        <v>3575</v>
      </c>
      <c r="D46" s="8" t="s">
        <v>2520</v>
      </c>
      <c r="E46" s="9" t="s">
        <v>2521</v>
      </c>
      <c r="F46" s="7">
        <v>22027020002998</v>
      </c>
      <c r="G46" s="837" t="s">
        <v>3576</v>
      </c>
      <c r="H46" s="10">
        <v>25.2</v>
      </c>
      <c r="I46" s="20">
        <v>16046</v>
      </c>
      <c r="J46" s="17"/>
      <c r="K46" s="19"/>
    </row>
    <row r="47" spans="1:11">
      <c r="A47" s="855"/>
      <c r="B47" s="829"/>
      <c r="C47" s="7" t="s">
        <v>3577</v>
      </c>
      <c r="D47" s="8" t="s">
        <v>2522</v>
      </c>
      <c r="E47" s="9" t="s">
        <v>3578</v>
      </c>
      <c r="F47" s="7">
        <v>22027020003000</v>
      </c>
      <c r="G47" s="838"/>
      <c r="H47" s="10">
        <v>28</v>
      </c>
      <c r="I47" s="20">
        <v>16432</v>
      </c>
      <c r="J47" s="17"/>
      <c r="K47" s="17"/>
    </row>
    <row r="48" spans="1:11">
      <c r="A48" s="855"/>
      <c r="B48" s="829"/>
      <c r="C48" s="7" t="s">
        <v>3579</v>
      </c>
      <c r="D48" s="8" t="s">
        <v>2524</v>
      </c>
      <c r="E48" s="9" t="s">
        <v>2525</v>
      </c>
      <c r="F48" s="7">
        <v>22027020002999</v>
      </c>
      <c r="G48" s="838"/>
      <c r="H48" s="10">
        <v>33.5</v>
      </c>
      <c r="I48" s="20">
        <v>18771</v>
      </c>
      <c r="J48" s="17"/>
      <c r="K48" s="17"/>
    </row>
    <row r="49" spans="1:11">
      <c r="A49" s="855"/>
      <c r="B49" s="829"/>
      <c r="C49" s="7" t="s">
        <v>3580</v>
      </c>
      <c r="D49" s="8" t="s">
        <v>2526</v>
      </c>
      <c r="E49" s="9" t="s">
        <v>3581</v>
      </c>
      <c r="F49" s="7">
        <v>22027020002588</v>
      </c>
      <c r="G49" s="838"/>
      <c r="H49" s="10">
        <v>40</v>
      </c>
      <c r="I49" s="20">
        <v>21764</v>
      </c>
      <c r="J49" s="17"/>
      <c r="K49" s="17"/>
    </row>
    <row r="50" spans="1:11">
      <c r="A50" s="855"/>
      <c r="B50" s="829"/>
      <c r="C50" s="7" t="s">
        <v>3582</v>
      </c>
      <c r="D50" s="8" t="s">
        <v>2528</v>
      </c>
      <c r="E50" s="9" t="s">
        <v>2529</v>
      </c>
      <c r="F50" s="7">
        <v>22027020002589</v>
      </c>
      <c r="G50" s="838"/>
      <c r="H50" s="10">
        <v>45</v>
      </c>
      <c r="I50" s="20">
        <v>22853</v>
      </c>
      <c r="J50" s="17"/>
      <c r="K50" s="17"/>
    </row>
    <row r="51" spans="1:11">
      <c r="A51" s="855"/>
      <c r="B51" s="829"/>
      <c r="C51" s="7" t="s">
        <v>3583</v>
      </c>
      <c r="D51" s="8" t="s">
        <v>2530</v>
      </c>
      <c r="E51" s="9" t="s">
        <v>3584</v>
      </c>
      <c r="F51" s="7">
        <v>22027020002587</v>
      </c>
      <c r="G51" s="838"/>
      <c r="H51" s="10">
        <v>50</v>
      </c>
      <c r="I51" s="20">
        <v>24841</v>
      </c>
      <c r="J51" s="17"/>
      <c r="K51" s="17"/>
    </row>
    <row r="52" spans="1:11">
      <c r="A52" s="855"/>
      <c r="B52" s="829"/>
      <c r="C52" s="7" t="s">
        <v>3585</v>
      </c>
      <c r="D52" s="8" t="s">
        <v>2532</v>
      </c>
      <c r="E52" s="9" t="s">
        <v>2533</v>
      </c>
      <c r="F52" s="7">
        <v>22027020002585</v>
      </c>
      <c r="G52" s="838"/>
      <c r="H52" s="10">
        <v>56</v>
      </c>
      <c r="I52" s="20">
        <v>26721</v>
      </c>
      <c r="J52" s="17"/>
      <c r="K52" s="17"/>
    </row>
    <row r="53" spans="1:11">
      <c r="A53" s="855"/>
      <c r="B53" s="829"/>
      <c r="C53" s="7" t="s">
        <v>3586</v>
      </c>
      <c r="D53" s="8" t="s">
        <v>2534</v>
      </c>
      <c r="E53" s="9" t="s">
        <v>3587</v>
      </c>
      <c r="F53" s="7">
        <v>22027020002586</v>
      </c>
      <c r="G53" s="838"/>
      <c r="H53" s="10">
        <v>61.5</v>
      </c>
      <c r="I53" s="20">
        <v>28689</v>
      </c>
      <c r="J53" s="17"/>
      <c r="K53" s="17"/>
    </row>
    <row r="54" spans="1:11">
      <c r="A54" s="855"/>
      <c r="B54" s="829"/>
      <c r="C54" s="7" t="s">
        <v>3588</v>
      </c>
      <c r="D54" s="8" t="s">
        <v>2536</v>
      </c>
      <c r="E54" s="9" t="s">
        <v>2537</v>
      </c>
      <c r="F54" s="7">
        <v>22027020002590</v>
      </c>
      <c r="G54" s="838"/>
      <c r="H54" s="10">
        <v>67</v>
      </c>
      <c r="I54" s="20">
        <v>31420</v>
      </c>
      <c r="J54" s="17"/>
      <c r="K54" s="17"/>
    </row>
    <row r="55" spans="1:11" ht="14.25" customHeight="1">
      <c r="A55" s="858" t="s">
        <v>2538</v>
      </c>
      <c r="B55" s="829" t="s">
        <v>2539</v>
      </c>
      <c r="C55" s="7" t="s">
        <v>3589</v>
      </c>
      <c r="D55" s="12" t="s">
        <v>2540</v>
      </c>
      <c r="E55" s="14" t="s">
        <v>2541</v>
      </c>
      <c r="F55" s="7" t="s">
        <v>2542</v>
      </c>
      <c r="G55" s="830" t="s">
        <v>3590</v>
      </c>
      <c r="H55" s="10">
        <v>12</v>
      </c>
      <c r="I55" s="20">
        <v>8208</v>
      </c>
      <c r="J55" s="827" t="s">
        <v>2543</v>
      </c>
      <c r="K55" s="17"/>
    </row>
    <row r="56" spans="1:11" ht="18">
      <c r="A56" s="859"/>
      <c r="B56" s="829"/>
      <c r="C56" s="7" t="s">
        <v>3591</v>
      </c>
      <c r="D56" s="12" t="s">
        <v>2544</v>
      </c>
      <c r="E56" s="14" t="s">
        <v>2545</v>
      </c>
      <c r="F56" s="7" t="s">
        <v>2546</v>
      </c>
      <c r="G56" s="831"/>
      <c r="H56" s="10">
        <v>14</v>
      </c>
      <c r="I56" s="20">
        <v>8954</v>
      </c>
      <c r="J56" s="827"/>
      <c r="K56" s="17"/>
    </row>
    <row r="57" spans="1:11" ht="18">
      <c r="A57" s="859"/>
      <c r="B57" s="829"/>
      <c r="C57" s="7" t="s">
        <v>3592</v>
      </c>
      <c r="D57" s="12" t="s">
        <v>2547</v>
      </c>
      <c r="E57" s="14" t="s">
        <v>2548</v>
      </c>
      <c r="F57" s="7" t="s">
        <v>3593</v>
      </c>
      <c r="G57" s="831"/>
      <c r="H57" s="10">
        <v>16</v>
      </c>
      <c r="I57" s="20">
        <v>10075</v>
      </c>
      <c r="J57" s="827"/>
      <c r="K57" s="17"/>
    </row>
    <row r="58" spans="1:11" ht="14.25" customHeight="1">
      <c r="A58" s="859"/>
      <c r="B58" s="846" t="s">
        <v>2284</v>
      </c>
      <c r="C58" s="7" t="s">
        <v>3594</v>
      </c>
      <c r="D58" s="12" t="s">
        <v>2550</v>
      </c>
      <c r="E58" s="14" t="s">
        <v>2551</v>
      </c>
      <c r="F58" s="7" t="s">
        <v>3595</v>
      </c>
      <c r="G58" s="831"/>
      <c r="H58" s="10">
        <v>8</v>
      </c>
      <c r="I58" s="20">
        <v>4921</v>
      </c>
      <c r="J58" s="827"/>
      <c r="K58" s="17"/>
    </row>
    <row r="59" spans="1:11" ht="18">
      <c r="A59" s="859"/>
      <c r="B59" s="847"/>
      <c r="C59" s="7" t="s">
        <v>3596</v>
      </c>
      <c r="D59" s="12" t="s">
        <v>2552</v>
      </c>
      <c r="E59" s="14" t="s">
        <v>2553</v>
      </c>
      <c r="F59" s="7" t="s">
        <v>2554</v>
      </c>
      <c r="G59" s="831"/>
      <c r="H59" s="10">
        <v>10</v>
      </c>
      <c r="I59" s="20">
        <v>5728</v>
      </c>
      <c r="J59" s="827"/>
      <c r="K59" s="17"/>
    </row>
    <row r="60" spans="1:11" ht="18">
      <c r="A60" s="859"/>
      <c r="B60" s="847"/>
      <c r="C60" s="7" t="s">
        <v>3597</v>
      </c>
      <c r="D60" s="12" t="s">
        <v>2555</v>
      </c>
      <c r="E60" s="14" t="s">
        <v>2556</v>
      </c>
      <c r="F60" s="7" t="s">
        <v>3598</v>
      </c>
      <c r="G60" s="831"/>
      <c r="H60" s="10">
        <v>12</v>
      </c>
      <c r="I60" s="20">
        <v>6881</v>
      </c>
      <c r="J60" s="827"/>
      <c r="K60" s="17"/>
    </row>
    <row r="61" spans="1:11" ht="18">
      <c r="A61" s="859"/>
      <c r="B61" s="847"/>
      <c r="C61" s="7" t="s">
        <v>3599</v>
      </c>
      <c r="D61" s="12" t="s">
        <v>2557</v>
      </c>
      <c r="E61" s="14" t="s">
        <v>2558</v>
      </c>
      <c r="F61" s="7" t="s">
        <v>2559</v>
      </c>
      <c r="G61" s="831"/>
      <c r="H61" s="10">
        <v>14</v>
      </c>
      <c r="I61" s="20">
        <v>7509</v>
      </c>
      <c r="J61" s="827"/>
      <c r="K61" s="17"/>
    </row>
    <row r="62" spans="1:11" ht="18">
      <c r="A62" s="859"/>
      <c r="B62" s="847"/>
      <c r="C62" s="7" t="s">
        <v>3600</v>
      </c>
      <c r="D62" s="12" t="s">
        <v>2560</v>
      </c>
      <c r="E62" s="14" t="s">
        <v>2561</v>
      </c>
      <c r="F62" s="7" t="s">
        <v>3601</v>
      </c>
      <c r="G62" s="831"/>
      <c r="H62" s="10">
        <v>16</v>
      </c>
      <c r="I62" s="20">
        <v>8452</v>
      </c>
      <c r="J62" s="827"/>
      <c r="K62" s="17"/>
    </row>
    <row r="63" spans="1:11" ht="42">
      <c r="A63" s="860"/>
      <c r="B63" s="848"/>
      <c r="C63" s="7" t="s">
        <v>3602</v>
      </c>
      <c r="D63" s="12" t="s">
        <v>3603</v>
      </c>
      <c r="E63" s="14" t="s">
        <v>3604</v>
      </c>
      <c r="F63" s="7" t="s">
        <v>3601</v>
      </c>
      <c r="G63" s="832"/>
      <c r="H63" s="10"/>
      <c r="I63" s="20">
        <v>9513</v>
      </c>
      <c r="J63" s="21" t="s">
        <v>2563</v>
      </c>
      <c r="K63" s="17"/>
    </row>
    <row r="64" spans="1:11">
      <c r="A64" s="829" t="s">
        <v>2564</v>
      </c>
      <c r="B64" s="829" t="s">
        <v>2539</v>
      </c>
      <c r="C64" s="7" t="s">
        <v>3605</v>
      </c>
      <c r="D64" s="12" t="s">
        <v>2565</v>
      </c>
      <c r="E64" s="11"/>
      <c r="F64" s="7">
        <v>22027020002530</v>
      </c>
      <c r="G64" s="839" t="s">
        <v>3606</v>
      </c>
      <c r="H64" s="6">
        <v>12</v>
      </c>
      <c r="I64" s="20">
        <v>8130</v>
      </c>
      <c r="J64" s="17"/>
      <c r="K64" s="17"/>
    </row>
    <row r="65" spans="1:11">
      <c r="A65" s="829"/>
      <c r="B65" s="849"/>
      <c r="C65" s="7" t="s">
        <v>3607</v>
      </c>
      <c r="D65" s="12" t="s">
        <v>2568</v>
      </c>
      <c r="E65" s="11"/>
      <c r="F65" s="7">
        <v>22027020002529</v>
      </c>
      <c r="G65" s="840"/>
      <c r="H65" s="6">
        <v>14</v>
      </c>
      <c r="I65" s="20">
        <v>8869</v>
      </c>
      <c r="J65" s="17"/>
      <c r="K65" s="17"/>
    </row>
    <row r="66" spans="1:11">
      <c r="A66" s="829"/>
      <c r="B66" s="849"/>
      <c r="C66" s="7" t="s">
        <v>3608</v>
      </c>
      <c r="D66" s="12" t="s">
        <v>2570</v>
      </c>
      <c r="E66" s="11"/>
      <c r="F66" s="7">
        <v>22027020002526</v>
      </c>
      <c r="G66" s="840"/>
      <c r="H66" s="6">
        <v>16</v>
      </c>
      <c r="I66" s="20">
        <v>9979</v>
      </c>
      <c r="J66" s="17"/>
      <c r="K66" s="17"/>
    </row>
    <row r="67" spans="1:11">
      <c r="A67" s="829"/>
      <c r="B67" s="849"/>
      <c r="C67" s="7" t="s">
        <v>3609</v>
      </c>
      <c r="D67" s="12" t="s">
        <v>2572</v>
      </c>
      <c r="E67" s="11"/>
      <c r="F67" s="7">
        <v>22027020002245</v>
      </c>
      <c r="G67" s="840"/>
      <c r="H67" s="6">
        <v>18</v>
      </c>
      <c r="I67" s="20">
        <v>10612</v>
      </c>
      <c r="J67" s="17"/>
      <c r="K67" s="17"/>
    </row>
    <row r="68" spans="1:11">
      <c r="A68" s="829"/>
      <c r="B68" s="829" t="s">
        <v>2284</v>
      </c>
      <c r="C68" s="7" t="s">
        <v>3610</v>
      </c>
      <c r="D68" s="12" t="s">
        <v>2574</v>
      </c>
      <c r="E68" s="11"/>
      <c r="F68" s="7">
        <v>22027020002527</v>
      </c>
      <c r="G68" s="840"/>
      <c r="H68" s="6">
        <v>8</v>
      </c>
      <c r="I68" s="20">
        <v>5281</v>
      </c>
      <c r="J68" s="17"/>
      <c r="K68" s="17"/>
    </row>
    <row r="69" spans="1:11">
      <c r="A69" s="829"/>
      <c r="B69" s="849"/>
      <c r="C69" s="7" t="s">
        <v>3611</v>
      </c>
      <c r="D69" s="12" t="s">
        <v>2576</v>
      </c>
      <c r="E69" s="11"/>
      <c r="F69" s="7">
        <v>22027020002246</v>
      </c>
      <c r="G69" s="840"/>
      <c r="H69" s="6">
        <v>10</v>
      </c>
      <c r="I69" s="20">
        <v>5415</v>
      </c>
      <c r="J69" s="17"/>
      <c r="K69" s="17"/>
    </row>
    <row r="70" spans="1:11">
      <c r="A70" s="829"/>
      <c r="B70" s="849"/>
      <c r="C70" s="7" t="s">
        <v>3612</v>
      </c>
      <c r="D70" s="12" t="s">
        <v>2578</v>
      </c>
      <c r="E70" s="11"/>
      <c r="F70" s="7">
        <v>22027020002528</v>
      </c>
      <c r="G70" s="840"/>
      <c r="H70" s="6">
        <v>12</v>
      </c>
      <c r="I70" s="20">
        <v>6705</v>
      </c>
      <c r="J70" s="17"/>
      <c r="K70" s="17"/>
    </row>
    <row r="71" spans="1:11">
      <c r="A71" s="829"/>
      <c r="B71" s="849"/>
      <c r="C71" s="7" t="s">
        <v>3613</v>
      </c>
      <c r="D71" s="12" t="s">
        <v>2580</v>
      </c>
      <c r="E71" s="11"/>
      <c r="F71" s="7">
        <v>22027020002531</v>
      </c>
      <c r="G71" s="840"/>
      <c r="H71" s="6">
        <v>14</v>
      </c>
      <c r="I71" s="20">
        <v>7254</v>
      </c>
      <c r="J71" s="17"/>
      <c r="K71" s="17"/>
    </row>
    <row r="72" spans="1:11">
      <c r="A72" s="829"/>
      <c r="B72" s="849"/>
      <c r="C72" s="7" t="s">
        <v>3614</v>
      </c>
      <c r="D72" s="12" t="s">
        <v>2582</v>
      </c>
      <c r="E72" s="11"/>
      <c r="F72" s="7">
        <v>22027020002525</v>
      </c>
      <c r="G72" s="840"/>
      <c r="H72" s="6">
        <v>16</v>
      </c>
      <c r="I72" s="20">
        <v>7791</v>
      </c>
      <c r="J72" s="17"/>
      <c r="K72" s="17"/>
    </row>
    <row r="73" spans="1:11">
      <c r="A73" s="829"/>
      <c r="B73" s="849"/>
      <c r="C73" s="7" t="s">
        <v>3615</v>
      </c>
      <c r="D73" s="12" t="s">
        <v>2584</v>
      </c>
      <c r="E73" s="11"/>
      <c r="F73" s="7">
        <v>22027020002225</v>
      </c>
      <c r="G73" s="841"/>
      <c r="H73" s="6">
        <v>18</v>
      </c>
      <c r="I73" s="20">
        <v>8147</v>
      </c>
      <c r="J73" s="17"/>
      <c r="K73" s="17"/>
    </row>
    <row r="74" spans="1:11" ht="21" customHeight="1">
      <c r="A74" s="829" t="s">
        <v>3616</v>
      </c>
      <c r="B74" s="829" t="s">
        <v>2587</v>
      </c>
      <c r="C74" s="13" t="s">
        <v>2588</v>
      </c>
      <c r="D74" s="22" t="s">
        <v>2588</v>
      </c>
      <c r="E74" s="23" t="s">
        <v>2589</v>
      </c>
      <c r="F74" s="13">
        <v>22026012000977</v>
      </c>
      <c r="G74" s="837" t="s">
        <v>3617</v>
      </c>
      <c r="H74" s="6">
        <v>1.5</v>
      </c>
      <c r="I74" s="20">
        <v>1289</v>
      </c>
      <c r="J74" s="17"/>
      <c r="K74" s="17"/>
    </row>
    <row r="75" spans="1:11" ht="21" customHeight="1">
      <c r="A75" s="829"/>
      <c r="B75" s="829"/>
      <c r="C75" s="13" t="s">
        <v>2590</v>
      </c>
      <c r="D75" s="22" t="s">
        <v>2590</v>
      </c>
      <c r="E75" s="23" t="s">
        <v>2591</v>
      </c>
      <c r="F75" s="13">
        <v>22026012000995</v>
      </c>
      <c r="G75" s="837"/>
      <c r="H75" s="6">
        <v>2.2000000000000002</v>
      </c>
      <c r="I75" s="20">
        <v>1391</v>
      </c>
      <c r="J75" s="17"/>
      <c r="K75" s="17"/>
    </row>
    <row r="76" spans="1:11" ht="21" customHeight="1">
      <c r="A76" s="829"/>
      <c r="B76" s="829"/>
      <c r="C76" s="13" t="s">
        <v>2592</v>
      </c>
      <c r="D76" s="22" t="s">
        <v>2592</v>
      </c>
      <c r="E76" s="23" t="s">
        <v>2593</v>
      </c>
      <c r="F76" s="13">
        <v>22026012000994</v>
      </c>
      <c r="G76" s="837"/>
      <c r="H76" s="6" t="s">
        <v>2594</v>
      </c>
      <c r="I76" s="20">
        <v>1452</v>
      </c>
      <c r="J76" s="17"/>
      <c r="K76" s="17"/>
    </row>
    <row r="77" spans="1:11" ht="21" customHeight="1">
      <c r="A77" s="829"/>
      <c r="B77" s="829"/>
      <c r="C77" s="13" t="s">
        <v>2595</v>
      </c>
      <c r="D77" s="22" t="s">
        <v>2595</v>
      </c>
      <c r="E77" s="23" t="s">
        <v>2596</v>
      </c>
      <c r="F77" s="13">
        <v>22026012000996</v>
      </c>
      <c r="G77" s="837"/>
      <c r="H77" s="6">
        <v>3.6</v>
      </c>
      <c r="I77" s="20">
        <v>1541</v>
      </c>
      <c r="J77" s="17"/>
      <c r="K77" s="17"/>
    </row>
    <row r="78" spans="1:11" ht="21" customHeight="1">
      <c r="A78" s="829"/>
      <c r="B78" s="829"/>
      <c r="C78" s="13" t="s">
        <v>2597</v>
      </c>
      <c r="D78" s="22" t="s">
        <v>2597</v>
      </c>
      <c r="E78" s="23" t="s">
        <v>2598</v>
      </c>
      <c r="F78" s="13">
        <v>22026012000980</v>
      </c>
      <c r="G78" s="837"/>
      <c r="H78" s="6">
        <v>4.5</v>
      </c>
      <c r="I78" s="20">
        <v>1607</v>
      </c>
      <c r="J78" s="17"/>
      <c r="K78" s="17"/>
    </row>
    <row r="79" spans="1:11" ht="21" customHeight="1">
      <c r="A79" s="829"/>
      <c r="B79" s="829"/>
      <c r="C79" s="13" t="s">
        <v>2599</v>
      </c>
      <c r="D79" s="22" t="s">
        <v>2599</v>
      </c>
      <c r="E79" s="23" t="s">
        <v>2600</v>
      </c>
      <c r="F79" s="13">
        <v>22026012000998</v>
      </c>
      <c r="G79" s="837"/>
      <c r="H79" s="6">
        <v>5.6</v>
      </c>
      <c r="I79" s="20">
        <v>1711</v>
      </c>
      <c r="J79" s="17"/>
      <c r="K79" s="17"/>
    </row>
    <row r="80" spans="1:11" ht="21" customHeight="1">
      <c r="A80" s="829"/>
      <c r="B80" s="829"/>
      <c r="C80" s="13" t="s">
        <v>2601</v>
      </c>
      <c r="D80" s="22" t="s">
        <v>2601</v>
      </c>
      <c r="E80" s="23" t="s">
        <v>2602</v>
      </c>
      <c r="F80" s="13">
        <v>22026012000979</v>
      </c>
      <c r="G80" s="837"/>
      <c r="H80" s="6">
        <v>6.3</v>
      </c>
      <c r="I80" s="20">
        <v>1776</v>
      </c>
      <c r="J80" s="17"/>
      <c r="K80" s="17"/>
    </row>
    <row r="81" spans="1:11">
      <c r="A81" s="6"/>
      <c r="B81" s="6"/>
      <c r="C81" s="13"/>
      <c r="D81" s="24" t="s">
        <v>2603</v>
      </c>
      <c r="E81" s="23" t="s">
        <v>2604</v>
      </c>
      <c r="F81" s="13">
        <v>22012900003270</v>
      </c>
      <c r="G81" s="13" t="s">
        <v>3618</v>
      </c>
      <c r="H81" s="6"/>
      <c r="I81" s="20">
        <v>320</v>
      </c>
      <c r="J81" s="27" t="s">
        <v>2605</v>
      </c>
      <c r="K81" s="17"/>
    </row>
    <row r="82" spans="1:11" ht="42">
      <c r="A82" s="6"/>
      <c r="B82" s="6"/>
      <c r="C82" s="13"/>
      <c r="D82" s="24" t="s">
        <v>2606</v>
      </c>
      <c r="E82" s="23" t="s">
        <v>2607</v>
      </c>
      <c r="F82" s="23" t="s">
        <v>2608</v>
      </c>
      <c r="G82" s="13" t="s">
        <v>3619</v>
      </c>
      <c r="H82" s="6"/>
      <c r="I82" s="20">
        <v>387</v>
      </c>
      <c r="J82" s="21" t="s">
        <v>2609</v>
      </c>
      <c r="K82" s="17"/>
    </row>
    <row r="83" spans="1:11" ht="14.25" customHeight="1">
      <c r="A83" s="829" t="s">
        <v>2610</v>
      </c>
      <c r="B83" s="829" t="s">
        <v>2587</v>
      </c>
      <c r="C83" s="13" t="s">
        <v>2611</v>
      </c>
      <c r="D83" s="22" t="s">
        <v>2611</v>
      </c>
      <c r="E83" s="23" t="s">
        <v>2612</v>
      </c>
      <c r="F83" s="13">
        <v>22026012001122</v>
      </c>
      <c r="G83" s="837" t="s">
        <v>3620</v>
      </c>
      <c r="H83" s="25">
        <v>2.8</v>
      </c>
      <c r="I83" s="20">
        <v>1466</v>
      </c>
      <c r="J83" s="17"/>
      <c r="K83" s="17"/>
    </row>
    <row r="84" spans="1:11">
      <c r="A84" s="829"/>
      <c r="B84" s="829"/>
      <c r="C84" s="13" t="s">
        <v>2613</v>
      </c>
      <c r="D84" s="22" t="s">
        <v>2613</v>
      </c>
      <c r="E84" s="23" t="s">
        <v>2614</v>
      </c>
      <c r="F84" s="13">
        <v>22026012001130</v>
      </c>
      <c r="G84" s="837"/>
      <c r="H84" s="25">
        <v>3.6</v>
      </c>
      <c r="I84" s="20">
        <v>1545</v>
      </c>
      <c r="J84" s="17"/>
      <c r="K84" s="17"/>
    </row>
    <row r="85" spans="1:11">
      <c r="A85" s="829"/>
      <c r="B85" s="829"/>
      <c r="C85" s="13" t="s">
        <v>2615</v>
      </c>
      <c r="D85" s="22" t="s">
        <v>2615</v>
      </c>
      <c r="E85" s="23" t="s">
        <v>2616</v>
      </c>
      <c r="F85" s="13">
        <v>22026012001124</v>
      </c>
      <c r="G85" s="837"/>
      <c r="H85" s="25">
        <v>4.5</v>
      </c>
      <c r="I85" s="20">
        <v>1759</v>
      </c>
      <c r="J85" s="17"/>
      <c r="K85" s="17"/>
    </row>
    <row r="86" spans="1:11">
      <c r="A86" s="829"/>
      <c r="B86" s="829"/>
      <c r="C86" s="13" t="s">
        <v>2617</v>
      </c>
      <c r="D86" s="22" t="s">
        <v>2617</v>
      </c>
      <c r="E86" s="23" t="s">
        <v>2618</v>
      </c>
      <c r="F86" s="13">
        <v>22026012001115</v>
      </c>
      <c r="G86" s="837"/>
      <c r="H86" s="25">
        <v>5.6</v>
      </c>
      <c r="I86" s="20">
        <v>1842</v>
      </c>
      <c r="J86" s="17"/>
      <c r="K86" s="17"/>
    </row>
    <row r="87" spans="1:11">
      <c r="A87" s="829"/>
      <c r="B87" s="829"/>
      <c r="C87" s="13" t="s">
        <v>2619</v>
      </c>
      <c r="D87" s="22" t="s">
        <v>2619</v>
      </c>
      <c r="E87" s="23" t="s">
        <v>2620</v>
      </c>
      <c r="F87" s="13">
        <v>22026012001132</v>
      </c>
      <c r="G87" s="837"/>
      <c r="H87" s="25">
        <v>7.1</v>
      </c>
      <c r="I87" s="20">
        <v>2312</v>
      </c>
      <c r="J87" s="17"/>
      <c r="K87" s="17"/>
    </row>
    <row r="88" spans="1:11">
      <c r="A88" s="829"/>
      <c r="B88" s="829"/>
      <c r="C88" s="13" t="s">
        <v>2621</v>
      </c>
      <c r="D88" s="22" t="s">
        <v>2621</v>
      </c>
      <c r="E88" s="23" t="s">
        <v>2622</v>
      </c>
      <c r="F88" s="13">
        <v>22026012001129</v>
      </c>
      <c r="G88" s="837"/>
      <c r="H88" s="25">
        <v>8</v>
      </c>
      <c r="I88" s="20">
        <v>2411</v>
      </c>
      <c r="J88" s="17"/>
      <c r="K88" s="17"/>
    </row>
    <row r="89" spans="1:11">
      <c r="A89" s="829"/>
      <c r="B89" s="829"/>
      <c r="C89" s="13" t="s">
        <v>2623</v>
      </c>
      <c r="D89" s="22" t="s">
        <v>2623</v>
      </c>
      <c r="E89" s="23" t="s">
        <v>2624</v>
      </c>
      <c r="F89" s="13">
        <v>22026012001123</v>
      </c>
      <c r="G89" s="837"/>
      <c r="H89" s="25">
        <v>9</v>
      </c>
      <c r="I89" s="20">
        <v>2470</v>
      </c>
      <c r="J89" s="17"/>
      <c r="K89" s="17"/>
    </row>
    <row r="90" spans="1:11">
      <c r="A90" s="829"/>
      <c r="B90" s="829"/>
      <c r="C90" s="13" t="s">
        <v>2625</v>
      </c>
      <c r="D90" s="22" t="s">
        <v>2625</v>
      </c>
      <c r="E90" s="23" t="s">
        <v>2626</v>
      </c>
      <c r="F90" s="13">
        <v>22026012001128</v>
      </c>
      <c r="G90" s="837"/>
      <c r="H90" s="25">
        <v>10</v>
      </c>
      <c r="I90" s="20">
        <v>2622</v>
      </c>
      <c r="J90" s="17"/>
      <c r="K90" s="17"/>
    </row>
    <row r="91" spans="1:11">
      <c r="A91" s="829"/>
      <c r="B91" s="829"/>
      <c r="C91" s="13" t="s">
        <v>2627</v>
      </c>
      <c r="D91" s="22" t="s">
        <v>2627</v>
      </c>
      <c r="E91" s="23" t="s">
        <v>2628</v>
      </c>
      <c r="F91" s="13">
        <v>22026012001133</v>
      </c>
      <c r="G91" s="837"/>
      <c r="H91" s="25">
        <v>11.2</v>
      </c>
      <c r="I91" s="20">
        <v>3091</v>
      </c>
      <c r="J91" s="17"/>
      <c r="K91" s="17"/>
    </row>
    <row r="92" spans="1:11">
      <c r="A92" s="829"/>
      <c r="B92" s="829"/>
      <c r="C92" s="13" t="s">
        <v>2629</v>
      </c>
      <c r="D92" s="22" t="s">
        <v>2629</v>
      </c>
      <c r="E92" s="23" t="s">
        <v>2630</v>
      </c>
      <c r="F92" s="13">
        <v>22026012001121</v>
      </c>
      <c r="G92" s="837"/>
      <c r="H92" s="25">
        <v>14</v>
      </c>
      <c r="I92" s="20">
        <v>3282</v>
      </c>
      <c r="J92" s="17"/>
      <c r="K92" s="17"/>
    </row>
    <row r="93" spans="1:11">
      <c r="A93" s="6"/>
      <c r="B93" s="6"/>
      <c r="C93" s="13"/>
      <c r="D93" s="24" t="s">
        <v>2633</v>
      </c>
      <c r="E93" s="23" t="s">
        <v>2634</v>
      </c>
      <c r="F93" s="13">
        <v>22012900003290</v>
      </c>
      <c r="G93" s="13" t="s">
        <v>3241</v>
      </c>
      <c r="H93" s="25"/>
      <c r="I93" s="20">
        <v>432</v>
      </c>
      <c r="J93" s="27" t="s">
        <v>2605</v>
      </c>
      <c r="K93" s="17"/>
    </row>
    <row r="94" spans="1:11" ht="42">
      <c r="A94" s="6"/>
      <c r="B94" s="6"/>
      <c r="C94" s="13"/>
      <c r="D94" s="24" t="s">
        <v>2635</v>
      </c>
      <c r="E94" s="23" t="s">
        <v>2636</v>
      </c>
      <c r="F94" s="13">
        <v>22012900003290</v>
      </c>
      <c r="G94" s="13" t="s">
        <v>3621</v>
      </c>
      <c r="H94" s="25"/>
      <c r="I94" s="20">
        <v>499</v>
      </c>
      <c r="J94" s="21" t="s">
        <v>2609</v>
      </c>
      <c r="K94" s="17"/>
    </row>
    <row r="95" spans="1:11">
      <c r="A95" s="829" t="s">
        <v>2638</v>
      </c>
      <c r="B95" s="829" t="s">
        <v>2587</v>
      </c>
      <c r="C95" s="13" t="s">
        <v>2639</v>
      </c>
      <c r="D95" s="22" t="s">
        <v>2639</v>
      </c>
      <c r="E95" s="23" t="s">
        <v>2640</v>
      </c>
      <c r="F95" s="13">
        <v>22026011001494</v>
      </c>
      <c r="G95" s="837" t="s">
        <v>3622</v>
      </c>
      <c r="H95" s="25">
        <v>1.5</v>
      </c>
      <c r="I95" s="20">
        <v>1296</v>
      </c>
      <c r="J95" s="17"/>
      <c r="K95" s="17"/>
    </row>
    <row r="96" spans="1:11">
      <c r="A96" s="829"/>
      <c r="B96" s="829"/>
      <c r="C96" s="13" t="s">
        <v>2641</v>
      </c>
      <c r="D96" s="22" t="s">
        <v>2641</v>
      </c>
      <c r="E96" s="23" t="s">
        <v>2642</v>
      </c>
      <c r="F96" s="13">
        <v>22026011001492</v>
      </c>
      <c r="G96" s="837"/>
      <c r="H96" s="25">
        <v>2.2000000000000002</v>
      </c>
      <c r="I96" s="20">
        <v>1342</v>
      </c>
      <c r="J96" s="17"/>
      <c r="K96" s="17"/>
    </row>
    <row r="97" spans="1:11">
      <c r="A97" s="829"/>
      <c r="B97" s="829"/>
      <c r="C97" s="13" t="s">
        <v>2643</v>
      </c>
      <c r="D97" s="22" t="s">
        <v>2643</v>
      </c>
      <c r="E97" s="23" t="s">
        <v>2644</v>
      </c>
      <c r="F97" s="13">
        <v>22026011001491</v>
      </c>
      <c r="G97" s="837"/>
      <c r="H97" s="25">
        <v>2.8</v>
      </c>
      <c r="I97" s="20">
        <v>1397</v>
      </c>
      <c r="J97" s="17"/>
      <c r="K97" s="17"/>
    </row>
    <row r="98" spans="1:11">
      <c r="A98" s="829"/>
      <c r="B98" s="829"/>
      <c r="C98" s="13" t="s">
        <v>2645</v>
      </c>
      <c r="D98" s="22" t="s">
        <v>2645</v>
      </c>
      <c r="E98" s="23" t="s">
        <v>2646</v>
      </c>
      <c r="F98" s="13">
        <v>22026011001495</v>
      </c>
      <c r="G98" s="837"/>
      <c r="H98" s="25">
        <v>3.6</v>
      </c>
      <c r="I98" s="20">
        <v>1445</v>
      </c>
      <c r="J98" s="17"/>
      <c r="K98" s="17"/>
    </row>
    <row r="99" spans="1:11">
      <c r="A99" s="829"/>
      <c r="B99" s="829"/>
      <c r="C99" s="13" t="s">
        <v>2647</v>
      </c>
      <c r="D99" s="22" t="s">
        <v>2647</v>
      </c>
      <c r="E99" s="23" t="s">
        <v>2648</v>
      </c>
      <c r="F99" s="13">
        <v>22026011001496</v>
      </c>
      <c r="G99" s="837"/>
      <c r="H99" s="25">
        <v>4.5</v>
      </c>
      <c r="I99" s="20">
        <v>1588</v>
      </c>
      <c r="J99" s="17"/>
      <c r="K99" s="17"/>
    </row>
    <row r="100" spans="1:11">
      <c r="A100" s="829"/>
      <c r="B100" s="829"/>
      <c r="C100" s="13" t="s">
        <v>2649</v>
      </c>
      <c r="D100" s="22" t="s">
        <v>2649</v>
      </c>
      <c r="E100" s="23" t="s">
        <v>2650</v>
      </c>
      <c r="F100" s="13">
        <v>22026011001478</v>
      </c>
      <c r="G100" s="837"/>
      <c r="H100" s="25">
        <v>5.6</v>
      </c>
      <c r="I100" s="20">
        <v>1623</v>
      </c>
      <c r="J100" s="17"/>
      <c r="K100" s="17"/>
    </row>
    <row r="101" spans="1:11">
      <c r="A101" s="829"/>
      <c r="B101" s="829"/>
      <c r="C101" s="13" t="s">
        <v>2651</v>
      </c>
      <c r="D101" s="22" t="s">
        <v>2651</v>
      </c>
      <c r="E101" s="23" t="s">
        <v>2652</v>
      </c>
      <c r="F101" s="13">
        <v>22026011001490</v>
      </c>
      <c r="G101" s="837"/>
      <c r="H101" s="25">
        <v>7.1</v>
      </c>
      <c r="I101" s="20">
        <v>1836</v>
      </c>
      <c r="J101" s="17"/>
      <c r="K101" s="17"/>
    </row>
    <row r="102" spans="1:11">
      <c r="A102" s="829"/>
      <c r="B102" s="829"/>
      <c r="C102" s="13" t="s">
        <v>2653</v>
      </c>
      <c r="D102" s="22" t="s">
        <v>2653</v>
      </c>
      <c r="E102" s="23" t="s">
        <v>2654</v>
      </c>
      <c r="F102" s="13">
        <v>22026011001497</v>
      </c>
      <c r="G102" s="837"/>
      <c r="H102" s="25">
        <v>8</v>
      </c>
      <c r="I102" s="20">
        <v>2165</v>
      </c>
      <c r="J102" s="17"/>
      <c r="K102" s="17"/>
    </row>
    <row r="103" spans="1:11">
      <c r="A103" s="829"/>
      <c r="B103" s="829"/>
      <c r="C103" s="13" t="s">
        <v>2655</v>
      </c>
      <c r="D103" s="22" t="s">
        <v>2655</v>
      </c>
      <c r="E103" s="23" t="s">
        <v>2656</v>
      </c>
      <c r="F103" s="13">
        <v>22026011001485</v>
      </c>
      <c r="G103" s="837"/>
      <c r="H103" s="25">
        <v>9</v>
      </c>
      <c r="I103" s="20">
        <v>2270</v>
      </c>
      <c r="J103" s="17"/>
      <c r="K103" s="17"/>
    </row>
    <row r="104" spans="1:11">
      <c r="A104" s="829"/>
      <c r="B104" s="829"/>
      <c r="C104" s="13" t="s">
        <v>2657</v>
      </c>
      <c r="D104" s="22" t="s">
        <v>2657</v>
      </c>
      <c r="E104" s="23" t="s">
        <v>2658</v>
      </c>
      <c r="F104" s="13">
        <v>22026011001493</v>
      </c>
      <c r="G104" s="837"/>
      <c r="H104" s="25">
        <v>11.2</v>
      </c>
      <c r="I104" s="20">
        <v>2341</v>
      </c>
      <c r="J104" s="17"/>
      <c r="K104" s="17"/>
    </row>
    <row r="105" spans="1:11" ht="14.25" customHeight="1">
      <c r="A105" s="829" t="s">
        <v>3623</v>
      </c>
      <c r="B105" s="829" t="s">
        <v>2587</v>
      </c>
      <c r="C105" s="13" t="s">
        <v>2659</v>
      </c>
      <c r="D105" s="22" t="s">
        <v>2659</v>
      </c>
      <c r="E105" s="23" t="s">
        <v>2660</v>
      </c>
      <c r="F105" s="23" t="s">
        <v>2661</v>
      </c>
      <c r="G105" s="837" t="s">
        <v>3624</v>
      </c>
      <c r="H105" s="25">
        <v>1.5</v>
      </c>
      <c r="I105" s="20">
        <v>1344</v>
      </c>
      <c r="J105" s="17"/>
      <c r="K105" s="17"/>
    </row>
    <row r="106" spans="1:11">
      <c r="A106" s="829"/>
      <c r="B106" s="829"/>
      <c r="C106" s="13" t="s">
        <v>2662</v>
      </c>
      <c r="D106" s="22" t="s">
        <v>2662</v>
      </c>
      <c r="E106" s="23" t="s">
        <v>2663</v>
      </c>
      <c r="F106" s="23" t="s">
        <v>2664</v>
      </c>
      <c r="G106" s="837"/>
      <c r="H106" s="25">
        <v>2.2000000000000002</v>
      </c>
      <c r="I106" s="20">
        <v>1395</v>
      </c>
      <c r="J106" s="17"/>
      <c r="K106" s="17"/>
    </row>
    <row r="107" spans="1:11">
      <c r="A107" s="829"/>
      <c r="B107" s="829"/>
      <c r="C107" s="13" t="s">
        <v>2665</v>
      </c>
      <c r="D107" s="22" t="s">
        <v>2665</v>
      </c>
      <c r="E107" s="23" t="s">
        <v>2666</v>
      </c>
      <c r="F107" s="23" t="s">
        <v>2667</v>
      </c>
      <c r="G107" s="837"/>
      <c r="H107" s="25">
        <v>2.8</v>
      </c>
      <c r="I107" s="20">
        <v>1483</v>
      </c>
      <c r="J107" s="17"/>
      <c r="K107" s="17"/>
    </row>
    <row r="108" spans="1:11">
      <c r="A108" s="829"/>
      <c r="B108" s="829"/>
      <c r="C108" s="13" t="s">
        <v>2668</v>
      </c>
      <c r="D108" s="22" t="s">
        <v>2668</v>
      </c>
      <c r="E108" s="23" t="s">
        <v>2669</v>
      </c>
      <c r="F108" s="23" t="s">
        <v>2670</v>
      </c>
      <c r="G108" s="837"/>
      <c r="H108" s="6">
        <v>3.6</v>
      </c>
      <c r="I108" s="20">
        <v>1543</v>
      </c>
      <c r="J108" s="17"/>
      <c r="K108" s="17"/>
    </row>
    <row r="109" spans="1:11">
      <c r="A109" s="829"/>
      <c r="B109" s="829"/>
      <c r="C109" s="13" t="s">
        <v>2671</v>
      </c>
      <c r="D109" s="22" t="s">
        <v>2671</v>
      </c>
      <c r="E109" s="23" t="s">
        <v>2672</v>
      </c>
      <c r="F109" s="23" t="s">
        <v>2673</v>
      </c>
      <c r="G109" s="837"/>
      <c r="H109" s="25">
        <v>4.5</v>
      </c>
      <c r="I109" s="20">
        <v>1718</v>
      </c>
      <c r="J109" s="17"/>
      <c r="K109" s="17"/>
    </row>
    <row r="110" spans="1:11">
      <c r="A110" s="829"/>
      <c r="B110" s="829"/>
      <c r="C110" s="13" t="s">
        <v>2674</v>
      </c>
      <c r="D110" s="22" t="s">
        <v>2674</v>
      </c>
      <c r="E110" s="23" t="s">
        <v>2675</v>
      </c>
      <c r="F110" s="23" t="s">
        <v>2676</v>
      </c>
      <c r="G110" s="837"/>
      <c r="H110" s="25">
        <v>5.6</v>
      </c>
      <c r="I110" s="20">
        <v>1841</v>
      </c>
      <c r="J110" s="17"/>
      <c r="K110" s="17"/>
    </row>
    <row r="111" spans="1:11">
      <c r="A111" s="829"/>
      <c r="B111" s="829"/>
      <c r="C111" s="13" t="s">
        <v>2677</v>
      </c>
      <c r="D111" s="22" t="s">
        <v>2677</v>
      </c>
      <c r="E111" s="23" t="s">
        <v>2678</v>
      </c>
      <c r="F111" s="23" t="s">
        <v>2679</v>
      </c>
      <c r="G111" s="837"/>
      <c r="H111" s="25">
        <v>7.1</v>
      </c>
      <c r="I111" s="20">
        <v>2028</v>
      </c>
      <c r="J111" s="17"/>
      <c r="K111" s="17"/>
    </row>
    <row r="112" spans="1:11">
      <c r="A112" s="829"/>
      <c r="B112" s="829"/>
      <c r="C112" s="13" t="s">
        <v>2680</v>
      </c>
      <c r="D112" s="22" t="s">
        <v>2680</v>
      </c>
      <c r="E112" s="23" t="s">
        <v>2681</v>
      </c>
      <c r="F112" s="23" t="s">
        <v>2682</v>
      </c>
      <c r="G112" s="837"/>
      <c r="H112" s="25">
        <v>8</v>
      </c>
      <c r="I112" s="20">
        <v>2104</v>
      </c>
      <c r="J112" s="17"/>
      <c r="K112" s="17"/>
    </row>
    <row r="113" spans="1:11">
      <c r="A113" s="829"/>
      <c r="B113" s="829"/>
      <c r="C113" s="13" t="s">
        <v>2683</v>
      </c>
      <c r="D113" s="22" t="s">
        <v>2683</v>
      </c>
      <c r="E113" s="23" t="s">
        <v>2684</v>
      </c>
      <c r="F113" s="23" t="s">
        <v>2685</v>
      </c>
      <c r="G113" s="837"/>
      <c r="H113" s="25">
        <v>9</v>
      </c>
      <c r="I113" s="20">
        <v>2256</v>
      </c>
      <c r="J113" s="17"/>
      <c r="K113" s="17"/>
    </row>
    <row r="114" spans="1:11">
      <c r="A114" s="829"/>
      <c r="B114" s="829"/>
      <c r="C114" s="13" t="s">
        <v>2686</v>
      </c>
      <c r="D114" s="22" t="s">
        <v>2686</v>
      </c>
      <c r="E114" s="23" t="s">
        <v>2687</v>
      </c>
      <c r="F114" s="23" t="s">
        <v>2688</v>
      </c>
      <c r="G114" s="837"/>
      <c r="H114" s="25">
        <v>11.2</v>
      </c>
      <c r="I114" s="20">
        <v>2485</v>
      </c>
      <c r="J114" s="17"/>
      <c r="K114" s="17"/>
    </row>
    <row r="115" spans="1:11">
      <c r="A115" s="829"/>
      <c r="B115" s="829"/>
      <c r="C115" s="13" t="s">
        <v>2689</v>
      </c>
      <c r="D115" s="22" t="s">
        <v>2689</v>
      </c>
      <c r="E115" s="26" t="s">
        <v>2690</v>
      </c>
      <c r="F115" s="26" t="s">
        <v>2691</v>
      </c>
      <c r="G115" s="837"/>
      <c r="H115" s="25">
        <v>12.5</v>
      </c>
      <c r="I115" s="20">
        <v>2519</v>
      </c>
      <c r="J115" s="17"/>
      <c r="K115" s="17"/>
    </row>
    <row r="116" spans="1:11">
      <c r="A116" s="829"/>
      <c r="B116" s="829"/>
      <c r="C116" s="13" t="s">
        <v>2692</v>
      </c>
      <c r="D116" s="22" t="s">
        <v>2692</v>
      </c>
      <c r="E116" s="23" t="s">
        <v>2693</v>
      </c>
      <c r="F116" s="23" t="s">
        <v>2691</v>
      </c>
      <c r="G116" s="837"/>
      <c r="H116" s="25">
        <v>14</v>
      </c>
      <c r="I116" s="20">
        <v>2554</v>
      </c>
      <c r="J116" s="17"/>
      <c r="K116" s="17"/>
    </row>
    <row r="117" spans="1:11">
      <c r="A117" s="829"/>
      <c r="B117" s="829"/>
      <c r="C117" s="13" t="s">
        <v>2694</v>
      </c>
      <c r="D117" s="22" t="s">
        <v>2694</v>
      </c>
      <c r="E117" s="23" t="s">
        <v>2695</v>
      </c>
      <c r="F117" s="23" t="s">
        <v>2691</v>
      </c>
      <c r="G117" s="837"/>
      <c r="H117" s="25">
        <v>16</v>
      </c>
      <c r="I117" s="20">
        <v>2713</v>
      </c>
      <c r="J117" s="17"/>
      <c r="K117" s="17"/>
    </row>
    <row r="118" spans="1:11" ht="24.75" customHeight="1">
      <c r="A118" s="829" t="s">
        <v>2710</v>
      </c>
      <c r="B118" s="829" t="s">
        <v>2587</v>
      </c>
      <c r="C118" s="13" t="s">
        <v>3625</v>
      </c>
      <c r="D118" s="22" t="s">
        <v>3625</v>
      </c>
      <c r="E118" s="23" t="s">
        <v>2711</v>
      </c>
      <c r="F118" s="13">
        <v>22026010000509</v>
      </c>
      <c r="G118" s="839" t="s">
        <v>3626</v>
      </c>
      <c r="H118" s="25">
        <v>1.5</v>
      </c>
      <c r="I118" s="20">
        <v>1104</v>
      </c>
      <c r="J118" s="17"/>
      <c r="K118" s="17"/>
    </row>
    <row r="119" spans="1:11" ht="24.75" customHeight="1">
      <c r="A119" s="829"/>
      <c r="B119" s="829"/>
      <c r="C119" s="13" t="s">
        <v>3627</v>
      </c>
      <c r="D119" s="22" t="s">
        <v>3627</v>
      </c>
      <c r="E119" s="23" t="s">
        <v>2712</v>
      </c>
      <c r="F119" s="13">
        <v>22026010000505</v>
      </c>
      <c r="G119" s="842"/>
      <c r="H119" s="25">
        <v>2.2000000000000002</v>
      </c>
      <c r="I119" s="20">
        <v>1251</v>
      </c>
      <c r="J119" s="17"/>
      <c r="K119" s="17"/>
    </row>
    <row r="120" spans="1:11" ht="24.75" customHeight="1">
      <c r="A120" s="829"/>
      <c r="B120" s="829"/>
      <c r="C120" s="13" t="s">
        <v>3628</v>
      </c>
      <c r="D120" s="22" t="s">
        <v>3628</v>
      </c>
      <c r="E120" s="23" t="s">
        <v>2713</v>
      </c>
      <c r="F120" s="13">
        <v>22026010000510</v>
      </c>
      <c r="G120" s="842"/>
      <c r="H120" s="25">
        <v>2.8</v>
      </c>
      <c r="I120" s="20">
        <v>1314</v>
      </c>
      <c r="J120" s="17"/>
      <c r="K120" s="17"/>
    </row>
    <row r="121" spans="1:11" ht="24.75" customHeight="1">
      <c r="A121" s="829"/>
      <c r="B121" s="829"/>
      <c r="C121" s="13" t="s">
        <v>3629</v>
      </c>
      <c r="D121" s="22" t="s">
        <v>3629</v>
      </c>
      <c r="E121" s="23" t="s">
        <v>2714</v>
      </c>
      <c r="F121" s="13">
        <v>22026010000503</v>
      </c>
      <c r="G121" s="842"/>
      <c r="H121" s="25">
        <v>3.6</v>
      </c>
      <c r="I121" s="20">
        <v>1454</v>
      </c>
      <c r="J121" s="17"/>
      <c r="K121" s="17"/>
    </row>
    <row r="122" spans="1:11" ht="24.75" customHeight="1">
      <c r="A122" s="829"/>
      <c r="B122" s="829"/>
      <c r="C122" s="13" t="s">
        <v>3630</v>
      </c>
      <c r="D122" s="22" t="s">
        <v>3630</v>
      </c>
      <c r="E122" s="23" t="s">
        <v>2715</v>
      </c>
      <c r="F122" s="13">
        <v>22026010000499</v>
      </c>
      <c r="G122" s="842"/>
      <c r="H122" s="25">
        <v>4.5</v>
      </c>
      <c r="I122" s="20">
        <v>1607</v>
      </c>
      <c r="J122" s="17"/>
      <c r="K122" s="17"/>
    </row>
    <row r="123" spans="1:11" ht="24.75" customHeight="1">
      <c r="A123" s="829"/>
      <c r="B123" s="829"/>
      <c r="C123" s="13" t="s">
        <v>3631</v>
      </c>
      <c r="D123" s="22" t="s">
        <v>3631</v>
      </c>
      <c r="E123" s="23" t="s">
        <v>2716</v>
      </c>
      <c r="F123" s="13">
        <v>22026010000502</v>
      </c>
      <c r="G123" s="843"/>
      <c r="H123" s="25">
        <v>5.6</v>
      </c>
      <c r="I123" s="20">
        <v>1676</v>
      </c>
      <c r="J123" s="17"/>
      <c r="K123" s="17"/>
    </row>
    <row r="124" spans="1:11" ht="24.75" customHeight="1">
      <c r="A124" s="850" t="s">
        <v>2718</v>
      </c>
      <c r="B124" s="829" t="s">
        <v>2587</v>
      </c>
      <c r="C124" s="13"/>
      <c r="D124" s="22" t="s">
        <v>2719</v>
      </c>
      <c r="E124" s="23" t="s">
        <v>2711</v>
      </c>
      <c r="F124" s="13">
        <v>22026010000509</v>
      </c>
      <c r="G124" s="842" t="s">
        <v>3632</v>
      </c>
      <c r="H124" s="25">
        <v>1.5</v>
      </c>
      <c r="I124" s="20">
        <v>1263</v>
      </c>
      <c r="J124" s="17"/>
      <c r="K124" s="17"/>
    </row>
    <row r="125" spans="1:11" ht="24.75" customHeight="1">
      <c r="A125" s="850"/>
      <c r="B125" s="829"/>
      <c r="C125" s="13"/>
      <c r="D125" s="22" t="s">
        <v>2720</v>
      </c>
      <c r="E125" s="23" t="s">
        <v>2712</v>
      </c>
      <c r="F125" s="13">
        <v>22026010000505</v>
      </c>
      <c r="G125" s="842"/>
      <c r="H125" s="25">
        <v>2.2000000000000002</v>
      </c>
      <c r="I125" s="20">
        <v>1459</v>
      </c>
      <c r="J125" s="17"/>
      <c r="K125" s="17"/>
    </row>
    <row r="126" spans="1:11" ht="24.75" customHeight="1">
      <c r="A126" s="850"/>
      <c r="B126" s="829"/>
      <c r="C126" s="13"/>
      <c r="D126" s="22" t="s">
        <v>2721</v>
      </c>
      <c r="E126" s="23" t="s">
        <v>2713</v>
      </c>
      <c r="F126" s="13">
        <v>22026010000510</v>
      </c>
      <c r="G126" s="842"/>
      <c r="H126" s="25">
        <v>2.8</v>
      </c>
      <c r="I126" s="20">
        <v>1513</v>
      </c>
      <c r="J126" s="17"/>
      <c r="K126" s="17"/>
    </row>
    <row r="127" spans="1:11" ht="24.75" customHeight="1">
      <c r="A127" s="850"/>
      <c r="B127" s="829"/>
      <c r="C127" s="13"/>
      <c r="D127" s="22" t="s">
        <v>2722</v>
      </c>
      <c r="E127" s="23" t="s">
        <v>2714</v>
      </c>
      <c r="F127" s="13">
        <v>22026010000503</v>
      </c>
      <c r="G127" s="842"/>
      <c r="H127" s="25">
        <v>3.6</v>
      </c>
      <c r="I127" s="20">
        <v>1623</v>
      </c>
      <c r="J127" s="17"/>
      <c r="K127" s="17"/>
    </row>
    <row r="128" spans="1:11" ht="24.75" customHeight="1">
      <c r="A128" s="850"/>
      <c r="B128" s="829"/>
      <c r="C128" s="13"/>
      <c r="D128" s="22" t="s">
        <v>2723</v>
      </c>
      <c r="E128" s="23" t="s">
        <v>2715</v>
      </c>
      <c r="F128" s="13">
        <v>22026010000499</v>
      </c>
      <c r="G128" s="842"/>
      <c r="H128" s="25">
        <v>4.5</v>
      </c>
      <c r="I128" s="20">
        <v>1802</v>
      </c>
      <c r="J128" s="17"/>
      <c r="K128" s="17"/>
    </row>
    <row r="129" spans="1:11" ht="24.75" customHeight="1">
      <c r="A129" s="850"/>
      <c r="B129" s="829"/>
      <c r="C129" s="13"/>
      <c r="D129" s="22" t="s">
        <v>2724</v>
      </c>
      <c r="E129" s="23" t="s">
        <v>2716</v>
      </c>
      <c r="F129" s="13">
        <v>22026010000502</v>
      </c>
      <c r="G129" s="843"/>
      <c r="H129" s="25">
        <v>5.6</v>
      </c>
      <c r="I129" s="20">
        <v>1851</v>
      </c>
      <c r="J129" s="17"/>
      <c r="K129" s="17"/>
    </row>
    <row r="130" spans="1:11" ht="138.75" customHeight="1">
      <c r="A130" s="851" t="s">
        <v>2839</v>
      </c>
      <c r="B130" s="29"/>
      <c r="C130" s="29"/>
      <c r="D130" s="30" t="s">
        <v>2840</v>
      </c>
      <c r="E130" s="23" t="s">
        <v>2840</v>
      </c>
      <c r="F130" s="23" t="s">
        <v>2841</v>
      </c>
      <c r="G130" s="28" t="s">
        <v>2842</v>
      </c>
      <c r="H130" s="31" t="s">
        <v>2241</v>
      </c>
      <c r="I130" s="40">
        <v>100</v>
      </c>
      <c r="J130" s="27" t="s">
        <v>2843</v>
      </c>
      <c r="K130" s="41" t="s">
        <v>2844</v>
      </c>
    </row>
    <row r="131" spans="1:11">
      <c r="A131" s="851"/>
      <c r="B131" s="29"/>
      <c r="C131" s="29"/>
      <c r="D131" s="30" t="s">
        <v>2845</v>
      </c>
      <c r="E131" s="23" t="s">
        <v>2845</v>
      </c>
      <c r="F131" s="23" t="s">
        <v>3633</v>
      </c>
      <c r="G131" s="28" t="s">
        <v>2847</v>
      </c>
      <c r="H131" s="31" t="s">
        <v>2241</v>
      </c>
      <c r="I131" s="20">
        <v>273</v>
      </c>
      <c r="J131" s="17"/>
      <c r="K131" s="17"/>
    </row>
    <row r="132" spans="1:11">
      <c r="A132" s="851"/>
      <c r="B132" s="29"/>
      <c r="C132" s="29"/>
      <c r="D132" s="30" t="s">
        <v>2848</v>
      </c>
      <c r="E132" s="23" t="s">
        <v>2848</v>
      </c>
      <c r="F132" s="23" t="s">
        <v>3634</v>
      </c>
      <c r="G132" s="28" t="s">
        <v>2847</v>
      </c>
      <c r="H132" s="31" t="s">
        <v>2241</v>
      </c>
      <c r="I132" s="20">
        <v>363</v>
      </c>
      <c r="J132" s="17"/>
      <c r="K132" s="17"/>
    </row>
    <row r="133" spans="1:11">
      <c r="A133" s="851"/>
      <c r="B133" s="29"/>
      <c r="C133" s="29"/>
      <c r="D133" s="30" t="s">
        <v>2853</v>
      </c>
      <c r="E133" s="23" t="s">
        <v>2853</v>
      </c>
      <c r="F133" s="23" t="s">
        <v>2854</v>
      </c>
      <c r="G133" s="28" t="s">
        <v>2855</v>
      </c>
      <c r="H133" s="31" t="s">
        <v>2241</v>
      </c>
      <c r="I133" s="40">
        <v>781</v>
      </c>
      <c r="J133" s="17"/>
      <c r="K133" s="17"/>
    </row>
    <row r="134" spans="1:11">
      <c r="A134" s="851"/>
      <c r="B134" s="29"/>
      <c r="C134" s="29"/>
      <c r="D134" s="30" t="s">
        <v>2856</v>
      </c>
      <c r="E134" s="23" t="s">
        <v>2856</v>
      </c>
      <c r="F134" s="23" t="s">
        <v>2857</v>
      </c>
      <c r="G134" s="28" t="s">
        <v>2858</v>
      </c>
      <c r="H134" s="31" t="s">
        <v>2241</v>
      </c>
      <c r="I134" s="40">
        <v>9769</v>
      </c>
      <c r="J134" s="17"/>
      <c r="K134" s="17"/>
    </row>
    <row r="135" spans="1:11">
      <c r="A135" s="851"/>
      <c r="B135" s="29"/>
      <c r="C135" s="29"/>
      <c r="D135" s="30" t="s">
        <v>2859</v>
      </c>
      <c r="E135" s="23" t="s">
        <v>2859</v>
      </c>
      <c r="F135" s="23" t="s">
        <v>2860</v>
      </c>
      <c r="G135" s="28" t="s">
        <v>2861</v>
      </c>
      <c r="H135" s="31" t="s">
        <v>2241</v>
      </c>
      <c r="I135" s="40">
        <v>9769</v>
      </c>
      <c r="J135" s="17"/>
      <c r="K135" s="17"/>
    </row>
    <row r="136" spans="1:11">
      <c r="A136" s="851"/>
      <c r="B136" s="29"/>
      <c r="C136" s="29"/>
      <c r="D136" s="30" t="s">
        <v>2862</v>
      </c>
      <c r="E136" s="23" t="s">
        <v>2862</v>
      </c>
      <c r="F136" s="23" t="s">
        <v>2863</v>
      </c>
      <c r="G136" s="28" t="s">
        <v>2864</v>
      </c>
      <c r="H136" s="31" t="s">
        <v>2241</v>
      </c>
      <c r="I136" s="40">
        <v>9769</v>
      </c>
      <c r="J136" s="17"/>
      <c r="K136" s="17"/>
    </row>
    <row r="137" spans="1:11">
      <c r="A137" s="851"/>
      <c r="B137" s="29"/>
      <c r="C137" s="29"/>
      <c r="D137" s="30" t="s">
        <v>2865</v>
      </c>
      <c r="E137" s="23" t="s">
        <v>2865</v>
      </c>
      <c r="F137" s="23" t="s">
        <v>2866</v>
      </c>
      <c r="G137" s="28" t="s">
        <v>2867</v>
      </c>
      <c r="H137" s="31" t="s">
        <v>2241</v>
      </c>
      <c r="I137" s="40">
        <v>1142</v>
      </c>
      <c r="J137" s="17"/>
      <c r="K137" s="17"/>
    </row>
    <row r="138" spans="1:11" ht="34">
      <c r="A138" s="852" t="s">
        <v>2880</v>
      </c>
      <c r="B138" s="31"/>
      <c r="C138" s="29"/>
      <c r="D138" s="8" t="s">
        <v>896</v>
      </c>
      <c r="E138" s="32" t="s">
        <v>896</v>
      </c>
      <c r="F138" s="33" t="s">
        <v>897</v>
      </c>
      <c r="G138" s="28" t="s">
        <v>2881</v>
      </c>
      <c r="H138" s="31" t="s">
        <v>2241</v>
      </c>
      <c r="I138" s="20">
        <v>699</v>
      </c>
      <c r="J138" s="17"/>
      <c r="K138" s="17"/>
    </row>
    <row r="139" spans="1:11" ht="34">
      <c r="A139" s="853"/>
      <c r="B139" s="31"/>
      <c r="C139" s="29"/>
      <c r="D139" s="8" t="s">
        <v>2882</v>
      </c>
      <c r="E139" s="32" t="s">
        <v>2882</v>
      </c>
      <c r="F139" s="33" t="s">
        <v>2883</v>
      </c>
      <c r="G139" s="28" t="s">
        <v>2884</v>
      </c>
      <c r="H139" s="31" t="s">
        <v>2241</v>
      </c>
      <c r="I139" s="20">
        <v>714</v>
      </c>
      <c r="J139" s="17"/>
      <c r="K139" s="17"/>
    </row>
    <row r="140" spans="1:11" ht="34">
      <c r="A140" s="853"/>
      <c r="B140" s="31"/>
      <c r="C140" s="29"/>
      <c r="D140" s="8" t="s">
        <v>898</v>
      </c>
      <c r="E140" s="32" t="s">
        <v>898</v>
      </c>
      <c r="F140" s="33" t="s">
        <v>899</v>
      </c>
      <c r="G140" s="28" t="s">
        <v>2885</v>
      </c>
      <c r="H140" s="31" t="s">
        <v>2241</v>
      </c>
      <c r="I140" s="20">
        <v>1232</v>
      </c>
      <c r="J140" s="17"/>
      <c r="K140" s="17"/>
    </row>
    <row r="141" spans="1:11" ht="34">
      <c r="A141" s="853"/>
      <c r="B141" s="31"/>
      <c r="C141" s="29"/>
      <c r="D141" s="8" t="s">
        <v>2886</v>
      </c>
      <c r="E141" s="32" t="s">
        <v>2886</v>
      </c>
      <c r="F141" s="33" t="s">
        <v>2887</v>
      </c>
      <c r="G141" s="28" t="s">
        <v>2888</v>
      </c>
      <c r="H141" s="31" t="s">
        <v>2241</v>
      </c>
      <c r="I141" s="20">
        <v>1353</v>
      </c>
      <c r="J141" s="17"/>
      <c r="K141" s="17"/>
    </row>
    <row r="142" spans="1:11" ht="34">
      <c r="A142" s="853"/>
      <c r="B142" s="31"/>
      <c r="C142" s="29"/>
      <c r="D142" s="8" t="s">
        <v>882</v>
      </c>
      <c r="E142" s="32" t="s">
        <v>882</v>
      </c>
      <c r="F142" s="33" t="s">
        <v>883</v>
      </c>
      <c r="G142" s="28" t="s">
        <v>2889</v>
      </c>
      <c r="H142" s="31" t="s">
        <v>2241</v>
      </c>
      <c r="I142" s="20">
        <v>1342</v>
      </c>
      <c r="J142" s="17"/>
      <c r="K142" s="17"/>
    </row>
    <row r="143" spans="1:11" ht="34">
      <c r="A143" s="853"/>
      <c r="B143" s="31"/>
      <c r="C143" s="29"/>
      <c r="D143" s="8" t="s">
        <v>2890</v>
      </c>
      <c r="E143" s="32" t="s">
        <v>2890</v>
      </c>
      <c r="F143" s="33" t="s">
        <v>2891</v>
      </c>
      <c r="G143" s="28" t="s">
        <v>2892</v>
      </c>
      <c r="H143" s="31" t="s">
        <v>2241</v>
      </c>
      <c r="I143" s="20">
        <v>2042</v>
      </c>
      <c r="J143" s="17"/>
      <c r="K143" s="17"/>
    </row>
    <row r="144" spans="1:11" ht="31">
      <c r="A144" s="853"/>
      <c r="B144" s="31"/>
      <c r="C144" s="29"/>
      <c r="D144" s="23" t="s">
        <v>896</v>
      </c>
      <c r="E144" s="32"/>
      <c r="F144" s="34">
        <v>15111700001468</v>
      </c>
      <c r="G144" s="28" t="s">
        <v>2893</v>
      </c>
      <c r="H144" s="31"/>
      <c r="I144" s="20">
        <v>699</v>
      </c>
      <c r="J144" s="17"/>
      <c r="K144" s="17"/>
    </row>
    <row r="145" spans="1:11" ht="31">
      <c r="A145" s="853"/>
      <c r="B145" s="31"/>
      <c r="C145" s="29"/>
      <c r="D145" s="23" t="s">
        <v>898</v>
      </c>
      <c r="E145" s="32"/>
      <c r="F145" s="34">
        <v>15111700001467</v>
      </c>
      <c r="G145" s="28" t="s">
        <v>2894</v>
      </c>
      <c r="H145" s="31"/>
      <c r="I145" s="20">
        <v>1232</v>
      </c>
      <c r="J145" s="17"/>
      <c r="K145" s="17"/>
    </row>
    <row r="146" spans="1:11" ht="31">
      <c r="A146" s="854"/>
      <c r="B146" s="31"/>
      <c r="C146" s="29"/>
      <c r="D146" s="23" t="s">
        <v>2890</v>
      </c>
      <c r="E146" s="32"/>
      <c r="F146" s="33" t="s">
        <v>2891</v>
      </c>
      <c r="G146" s="28" t="s">
        <v>2895</v>
      </c>
      <c r="H146" s="31"/>
      <c r="I146" s="20">
        <v>2042</v>
      </c>
      <c r="J146" s="17"/>
      <c r="K146" s="17"/>
    </row>
    <row r="147" spans="1:11" ht="17">
      <c r="A147" s="845" t="s">
        <v>2896</v>
      </c>
      <c r="B147" s="29"/>
      <c r="C147" s="29"/>
      <c r="D147" s="30" t="s">
        <v>884</v>
      </c>
      <c r="E147" s="23" t="s">
        <v>884</v>
      </c>
      <c r="F147" s="23" t="s">
        <v>885</v>
      </c>
      <c r="G147" s="28" t="s">
        <v>2897</v>
      </c>
      <c r="H147" s="31" t="s">
        <v>2241</v>
      </c>
      <c r="I147" s="40">
        <v>133</v>
      </c>
      <c r="J147" s="17"/>
      <c r="K147" s="17"/>
    </row>
    <row r="148" spans="1:11" ht="17">
      <c r="A148" s="845"/>
      <c r="B148" s="29"/>
      <c r="C148" s="29"/>
      <c r="D148" s="30" t="s">
        <v>886</v>
      </c>
      <c r="E148" s="23" t="s">
        <v>886</v>
      </c>
      <c r="F148" s="23" t="s">
        <v>887</v>
      </c>
      <c r="G148" s="28" t="s">
        <v>2897</v>
      </c>
      <c r="H148" s="31" t="s">
        <v>2241</v>
      </c>
      <c r="I148" s="40">
        <v>146</v>
      </c>
      <c r="J148" s="17"/>
      <c r="K148" s="17"/>
    </row>
    <row r="149" spans="1:11" ht="17">
      <c r="A149" s="845"/>
      <c r="B149" s="29"/>
      <c r="C149" s="29"/>
      <c r="D149" s="30" t="s">
        <v>888</v>
      </c>
      <c r="E149" s="23" t="s">
        <v>888</v>
      </c>
      <c r="F149" s="23" t="s">
        <v>889</v>
      </c>
      <c r="G149" s="28" t="s">
        <v>2897</v>
      </c>
      <c r="H149" s="31" t="s">
        <v>2241</v>
      </c>
      <c r="I149" s="40">
        <v>286</v>
      </c>
      <c r="J149" s="17"/>
      <c r="K149" s="17"/>
    </row>
    <row r="150" spans="1:11" ht="17">
      <c r="A150" s="845"/>
      <c r="B150" s="29"/>
      <c r="C150" s="29"/>
      <c r="D150" s="30" t="s">
        <v>890</v>
      </c>
      <c r="E150" s="23" t="s">
        <v>890</v>
      </c>
      <c r="F150" s="23" t="s">
        <v>891</v>
      </c>
      <c r="G150" s="28" t="s">
        <v>2897</v>
      </c>
      <c r="H150" s="31" t="s">
        <v>2241</v>
      </c>
      <c r="I150" s="40">
        <v>470</v>
      </c>
      <c r="J150" s="17"/>
      <c r="K150" s="17"/>
    </row>
    <row r="151" spans="1:11" ht="17">
      <c r="A151" s="845"/>
      <c r="B151" s="29"/>
      <c r="C151" s="29"/>
      <c r="D151" s="30" t="s">
        <v>892</v>
      </c>
      <c r="E151" s="23" t="s">
        <v>892</v>
      </c>
      <c r="F151" s="23" t="s">
        <v>893</v>
      </c>
      <c r="G151" s="28" t="s">
        <v>2897</v>
      </c>
      <c r="H151" s="31" t="s">
        <v>2241</v>
      </c>
      <c r="I151" s="40">
        <v>495</v>
      </c>
      <c r="J151" s="17"/>
      <c r="K151" s="17"/>
    </row>
    <row r="152" spans="1:11" ht="17">
      <c r="A152" s="845"/>
      <c r="B152" s="29"/>
      <c r="C152" s="29"/>
      <c r="D152" s="30" t="s">
        <v>894</v>
      </c>
      <c r="E152" s="23" t="s">
        <v>894</v>
      </c>
      <c r="F152" s="23" t="s">
        <v>895</v>
      </c>
      <c r="G152" s="28" t="s">
        <v>2897</v>
      </c>
      <c r="H152" s="31" t="s">
        <v>2241</v>
      </c>
      <c r="I152" s="40">
        <v>622</v>
      </c>
      <c r="J152" s="17"/>
      <c r="K152" s="17"/>
    </row>
    <row r="153" spans="1:11" ht="17">
      <c r="A153" s="845"/>
      <c r="B153" s="29"/>
      <c r="C153" s="29"/>
      <c r="D153" s="30" t="s">
        <v>2898</v>
      </c>
      <c r="E153" s="23" t="s">
        <v>2898</v>
      </c>
      <c r="F153" s="23" t="s">
        <v>2899</v>
      </c>
      <c r="G153" s="28" t="s">
        <v>2897</v>
      </c>
      <c r="H153" s="31" t="s">
        <v>2241</v>
      </c>
      <c r="I153" s="40">
        <v>670</v>
      </c>
      <c r="J153" s="17"/>
      <c r="K153" s="17"/>
    </row>
    <row r="154" spans="1:11" ht="31">
      <c r="A154" s="844" t="s">
        <v>2900</v>
      </c>
      <c r="B154" s="29"/>
      <c r="C154" s="29"/>
      <c r="D154" s="30" t="s">
        <v>852</v>
      </c>
      <c r="E154" s="23" t="s">
        <v>852</v>
      </c>
      <c r="F154" s="23" t="s">
        <v>853</v>
      </c>
      <c r="G154" s="28" t="s">
        <v>2901</v>
      </c>
      <c r="H154" s="31" t="s">
        <v>2241</v>
      </c>
      <c r="I154" s="40">
        <v>270</v>
      </c>
      <c r="J154" s="17"/>
      <c r="K154" s="17"/>
    </row>
    <row r="155" spans="1:11" ht="31">
      <c r="A155" s="844"/>
      <c r="B155" s="29"/>
      <c r="C155" s="29"/>
      <c r="D155" s="30" t="s">
        <v>854</v>
      </c>
      <c r="E155" s="23" t="s">
        <v>854</v>
      </c>
      <c r="F155" s="23" t="s">
        <v>855</v>
      </c>
      <c r="G155" s="28" t="s">
        <v>2902</v>
      </c>
      <c r="H155" s="31" t="s">
        <v>2241</v>
      </c>
      <c r="I155" s="40">
        <v>583</v>
      </c>
      <c r="J155" s="17"/>
      <c r="K155" s="17"/>
    </row>
    <row r="156" spans="1:11" ht="28">
      <c r="A156" s="35" t="s">
        <v>2903</v>
      </c>
      <c r="B156" s="29"/>
      <c r="C156" s="29"/>
      <c r="D156" s="30" t="s">
        <v>2904</v>
      </c>
      <c r="E156" s="23" t="s">
        <v>2904</v>
      </c>
      <c r="F156" s="23" t="s">
        <v>2905</v>
      </c>
      <c r="G156" s="28" t="s">
        <v>2906</v>
      </c>
      <c r="H156" s="31" t="s">
        <v>2241</v>
      </c>
      <c r="I156" s="40">
        <v>495</v>
      </c>
      <c r="J156" s="828"/>
      <c r="K156" s="17"/>
    </row>
    <row r="157" spans="1:11" ht="28">
      <c r="A157" s="845" t="s">
        <v>3635</v>
      </c>
      <c r="B157" s="29"/>
      <c r="C157" s="29"/>
      <c r="D157" s="30" t="s">
        <v>2908</v>
      </c>
      <c r="E157" s="23" t="s">
        <v>2908</v>
      </c>
      <c r="F157" s="23" t="s">
        <v>2909</v>
      </c>
      <c r="G157" s="28" t="s">
        <v>2906</v>
      </c>
      <c r="H157" s="31" t="s">
        <v>2241</v>
      </c>
      <c r="I157" s="40">
        <v>853</v>
      </c>
      <c r="J157" s="828"/>
      <c r="K157" s="17"/>
    </row>
    <row r="158" spans="1:11" ht="28">
      <c r="A158" s="845"/>
      <c r="B158" s="29"/>
      <c r="C158" s="29"/>
      <c r="D158" s="30" t="s">
        <v>2910</v>
      </c>
      <c r="E158" s="23" t="s">
        <v>2910</v>
      </c>
      <c r="F158" s="23" t="s">
        <v>2911</v>
      </c>
      <c r="G158" s="28" t="s">
        <v>2912</v>
      </c>
      <c r="H158" s="31" t="s">
        <v>2241</v>
      </c>
      <c r="I158" s="40">
        <v>278</v>
      </c>
      <c r="J158" s="828"/>
      <c r="K158" s="17"/>
    </row>
    <row r="159" spans="1:11" ht="31">
      <c r="A159" s="845" t="s">
        <v>2913</v>
      </c>
      <c r="B159" s="29"/>
      <c r="C159" s="29"/>
      <c r="D159" s="30" t="s">
        <v>2914</v>
      </c>
      <c r="E159" s="23" t="s">
        <v>2914</v>
      </c>
      <c r="F159" s="23" t="s">
        <v>2915</v>
      </c>
      <c r="G159" s="28" t="s">
        <v>2916</v>
      </c>
      <c r="H159" s="31" t="s">
        <v>2241</v>
      </c>
      <c r="I159" s="40">
        <v>41</v>
      </c>
      <c r="J159" s="828"/>
      <c r="K159" s="17"/>
    </row>
    <row r="160" spans="1:11" ht="31">
      <c r="A160" s="845"/>
      <c r="B160" s="29"/>
      <c r="C160" s="29"/>
      <c r="D160" s="30" t="s">
        <v>2917</v>
      </c>
      <c r="E160" s="23" t="s">
        <v>2917</v>
      </c>
      <c r="F160" s="23" t="s">
        <v>2918</v>
      </c>
      <c r="G160" s="28" t="s">
        <v>2919</v>
      </c>
      <c r="H160" s="31" t="s">
        <v>2241</v>
      </c>
      <c r="I160" s="40">
        <v>48</v>
      </c>
      <c r="J160" s="828"/>
      <c r="K160" s="17"/>
    </row>
    <row r="161" spans="1:11" ht="31">
      <c r="A161" s="845"/>
      <c r="B161" s="29"/>
      <c r="C161" s="29"/>
      <c r="D161" s="30" t="s">
        <v>2920</v>
      </c>
      <c r="E161" s="23" t="s">
        <v>2920</v>
      </c>
      <c r="F161" s="23" t="s">
        <v>2921</v>
      </c>
      <c r="G161" s="28" t="s">
        <v>2922</v>
      </c>
      <c r="H161" s="31" t="s">
        <v>2241</v>
      </c>
      <c r="I161" s="40">
        <v>77</v>
      </c>
      <c r="J161" s="828"/>
      <c r="K161" s="17"/>
    </row>
    <row r="162" spans="1:11" ht="31">
      <c r="A162" s="845"/>
      <c r="B162" s="29"/>
      <c r="C162" s="29"/>
      <c r="D162" s="30" t="s">
        <v>2923</v>
      </c>
      <c r="E162" s="23" t="s">
        <v>2923</v>
      </c>
      <c r="F162" s="23" t="s">
        <v>2924</v>
      </c>
      <c r="G162" s="28" t="s">
        <v>2925</v>
      </c>
      <c r="H162" s="31" t="s">
        <v>2241</v>
      </c>
      <c r="I162" s="40">
        <v>93</v>
      </c>
      <c r="J162" s="828"/>
      <c r="K162" s="17"/>
    </row>
    <row r="163" spans="1:11" ht="31">
      <c r="A163" s="845"/>
      <c r="B163" s="29"/>
      <c r="C163" s="29"/>
      <c r="D163" s="30" t="s">
        <v>2926</v>
      </c>
      <c r="E163" s="23" t="s">
        <v>2926</v>
      </c>
      <c r="F163" s="23" t="s">
        <v>2927</v>
      </c>
      <c r="G163" s="28" t="s">
        <v>2928</v>
      </c>
      <c r="H163" s="31" t="s">
        <v>2241</v>
      </c>
      <c r="I163" s="40">
        <v>116</v>
      </c>
      <c r="J163" s="828"/>
      <c r="K163" s="17"/>
    </row>
    <row r="164" spans="1:11" ht="31">
      <c r="A164" s="845" t="s">
        <v>3636</v>
      </c>
      <c r="B164" s="29"/>
      <c r="C164" s="29"/>
      <c r="D164" s="30" t="s">
        <v>2930</v>
      </c>
      <c r="E164" s="23" t="s">
        <v>2931</v>
      </c>
      <c r="F164" s="23" t="s">
        <v>2932</v>
      </c>
      <c r="G164" s="28" t="s">
        <v>2933</v>
      </c>
      <c r="H164" s="31" t="s">
        <v>2241</v>
      </c>
      <c r="I164" s="40">
        <v>744</v>
      </c>
      <c r="J164" s="828"/>
      <c r="K164" s="17"/>
    </row>
    <row r="165" spans="1:11" ht="31">
      <c r="A165" s="845"/>
      <c r="B165" s="29"/>
      <c r="C165" s="29"/>
      <c r="D165" s="30" t="s">
        <v>2934</v>
      </c>
      <c r="E165" s="23" t="s">
        <v>2935</v>
      </c>
      <c r="F165" s="23" t="s">
        <v>2936</v>
      </c>
      <c r="G165" s="28" t="s">
        <v>2937</v>
      </c>
      <c r="H165" s="31" t="s">
        <v>2241</v>
      </c>
      <c r="I165" s="40">
        <v>852</v>
      </c>
      <c r="J165" s="828"/>
      <c r="K165" s="17"/>
    </row>
    <row r="166" spans="1:11" ht="31">
      <c r="A166" s="845"/>
      <c r="B166" s="29"/>
      <c r="C166" s="29"/>
      <c r="D166" s="30" t="s">
        <v>2938</v>
      </c>
      <c r="E166" s="23" t="s">
        <v>2939</v>
      </c>
      <c r="F166" s="23" t="s">
        <v>2940</v>
      </c>
      <c r="G166" s="28" t="s">
        <v>2941</v>
      </c>
      <c r="H166" s="31" t="s">
        <v>2241</v>
      </c>
      <c r="I166" s="40">
        <v>1292</v>
      </c>
      <c r="J166" s="828"/>
      <c r="K166" s="17"/>
    </row>
    <row r="167" spans="1:11" ht="31">
      <c r="A167" s="845"/>
      <c r="B167" s="29"/>
      <c r="C167" s="29"/>
      <c r="D167" s="30" t="s">
        <v>2942</v>
      </c>
      <c r="E167" s="23" t="s">
        <v>2943</v>
      </c>
      <c r="F167" s="23" t="s">
        <v>2944</v>
      </c>
      <c r="G167" s="28" t="s">
        <v>2945</v>
      </c>
      <c r="H167" s="31" t="s">
        <v>2241</v>
      </c>
      <c r="I167" s="40">
        <v>1497</v>
      </c>
      <c r="J167" s="828"/>
      <c r="K167" s="17"/>
    </row>
    <row r="168" spans="1:11" ht="31">
      <c r="A168" s="845"/>
      <c r="B168" s="29"/>
      <c r="C168" s="29"/>
      <c r="D168" s="30" t="s">
        <v>2946</v>
      </c>
      <c r="E168" s="23" t="s">
        <v>2947</v>
      </c>
      <c r="F168" s="23" t="s">
        <v>2948</v>
      </c>
      <c r="G168" s="28" t="s">
        <v>2949</v>
      </c>
      <c r="H168" s="31" t="s">
        <v>2241</v>
      </c>
      <c r="I168" s="40">
        <v>916</v>
      </c>
      <c r="J168" s="828"/>
      <c r="K168" s="17"/>
    </row>
    <row r="169" spans="1:11" ht="31">
      <c r="A169" s="845"/>
      <c r="B169" s="29"/>
      <c r="C169" s="29"/>
      <c r="D169" s="30" t="s">
        <v>2950</v>
      </c>
      <c r="E169" s="23" t="s">
        <v>2951</v>
      </c>
      <c r="F169" s="23" t="s">
        <v>2952</v>
      </c>
      <c r="G169" s="28" t="s">
        <v>2953</v>
      </c>
      <c r="H169" s="31" t="s">
        <v>2241</v>
      </c>
      <c r="I169" s="40">
        <v>1077</v>
      </c>
      <c r="J169" s="828"/>
      <c r="K169" s="17"/>
    </row>
    <row r="170" spans="1:11" ht="31">
      <c r="A170" s="845"/>
      <c r="B170" s="29"/>
      <c r="C170" s="29"/>
      <c r="D170" s="30" t="s">
        <v>2954</v>
      </c>
      <c r="E170" s="23" t="s">
        <v>2955</v>
      </c>
      <c r="F170" s="23" t="s">
        <v>2956</v>
      </c>
      <c r="G170" s="28" t="s">
        <v>2957</v>
      </c>
      <c r="H170" s="31" t="s">
        <v>2241</v>
      </c>
      <c r="I170" s="40">
        <v>1620</v>
      </c>
      <c r="J170" s="828"/>
      <c r="K170" s="17"/>
    </row>
    <row r="171" spans="1:11" ht="31">
      <c r="A171" s="845"/>
      <c r="B171" s="29"/>
      <c r="C171" s="29"/>
      <c r="D171" s="30" t="s">
        <v>2958</v>
      </c>
      <c r="E171" s="23" t="s">
        <v>2959</v>
      </c>
      <c r="F171" s="23" t="s">
        <v>2960</v>
      </c>
      <c r="G171" s="28" t="s">
        <v>2961</v>
      </c>
      <c r="H171" s="31" t="s">
        <v>2241</v>
      </c>
      <c r="I171" s="40">
        <v>1929</v>
      </c>
      <c r="J171" s="828"/>
      <c r="K171" s="17"/>
    </row>
    <row r="172" spans="1:11">
      <c r="A172" s="36" t="s">
        <v>2962</v>
      </c>
      <c r="B172" s="36"/>
      <c r="C172" s="36"/>
      <c r="D172" s="30"/>
      <c r="E172" s="23" t="s">
        <v>2963</v>
      </c>
      <c r="F172" s="37">
        <v>17226000005739</v>
      </c>
      <c r="G172" s="38" t="s">
        <v>2962</v>
      </c>
      <c r="H172" s="36"/>
      <c r="I172" s="42">
        <v>366</v>
      </c>
    </row>
    <row r="173" spans="1:11" ht="16">
      <c r="A173" s="39" t="s">
        <v>2868</v>
      </c>
      <c r="B173" s="39"/>
      <c r="C173" s="39"/>
      <c r="D173" s="39"/>
      <c r="E173" s="23" t="s">
        <v>2875</v>
      </c>
      <c r="F173" s="37">
        <v>17311500001361</v>
      </c>
      <c r="G173" s="39"/>
      <c r="H173" s="39"/>
      <c r="I173" s="43">
        <v>4567</v>
      </c>
    </row>
  </sheetData>
  <mergeCells count="47">
    <mergeCell ref="A2:A18"/>
    <mergeCell ref="A19:A36"/>
    <mergeCell ref="A37:A45"/>
    <mergeCell ref="A46:A54"/>
    <mergeCell ref="A55:A63"/>
    <mergeCell ref="A64:A73"/>
    <mergeCell ref="A74:A80"/>
    <mergeCell ref="A83:A92"/>
    <mergeCell ref="A95:A104"/>
    <mergeCell ref="A105:A117"/>
    <mergeCell ref="A118:A123"/>
    <mergeCell ref="A124:A129"/>
    <mergeCell ref="A130:A137"/>
    <mergeCell ref="A138:A146"/>
    <mergeCell ref="A147:A153"/>
    <mergeCell ref="A154:A155"/>
    <mergeCell ref="A157:A158"/>
    <mergeCell ref="A159:A163"/>
    <mergeCell ref="A164:A171"/>
    <mergeCell ref="B2:B18"/>
    <mergeCell ref="B19:B36"/>
    <mergeCell ref="B37:B45"/>
    <mergeCell ref="B46:B54"/>
    <mergeCell ref="B55:B57"/>
    <mergeCell ref="B58:B63"/>
    <mergeCell ref="B64:B67"/>
    <mergeCell ref="B68:B73"/>
    <mergeCell ref="B74:B80"/>
    <mergeCell ref="B83:B92"/>
    <mergeCell ref="B95:B104"/>
    <mergeCell ref="B105:B117"/>
    <mergeCell ref="J55:J62"/>
    <mergeCell ref="J156:J171"/>
    <mergeCell ref="B118:B123"/>
    <mergeCell ref="B124:B129"/>
    <mergeCell ref="G2:G18"/>
    <mergeCell ref="G19:G36"/>
    <mergeCell ref="G37:G45"/>
    <mergeCell ref="G46:G54"/>
    <mergeCell ref="G55:G63"/>
    <mergeCell ref="G64:G73"/>
    <mergeCell ref="G74:G80"/>
    <mergeCell ref="G83:G92"/>
    <mergeCell ref="G95:G104"/>
    <mergeCell ref="G105:G117"/>
    <mergeCell ref="G118:G123"/>
    <mergeCell ref="G124:G129"/>
  </mergeCells>
  <phoneticPr fontId="46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2</vt:i4>
      </vt:variant>
    </vt:vector>
  </HeadingPairs>
  <TitlesOfParts>
    <vt:vector size="15" baseType="lpstr">
      <vt:lpstr>汇总表</vt:lpstr>
      <vt:lpstr>V8 </vt:lpstr>
      <vt:lpstr>VRF</vt:lpstr>
      <vt:lpstr>Atom</vt:lpstr>
      <vt:lpstr>Unitary</vt:lpstr>
      <vt:lpstr>FCU-Duct</vt:lpstr>
      <vt:lpstr>FCU-other</vt:lpstr>
      <vt:lpstr>FCUCassette</vt:lpstr>
      <vt:lpstr>DC 2-4-Pipe FCU</vt:lpstr>
      <vt:lpstr>Modular chiller</vt:lpstr>
      <vt:lpstr>Heat Pump</vt:lpstr>
      <vt:lpstr>Rooftop</vt:lpstr>
      <vt:lpstr>OLD V8</vt:lpstr>
      <vt:lpstr>'Modular chiller'!Область_печати</vt:lpstr>
      <vt:lpstr>Rooftop!Область_печати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杨德明</dc:creator>
  <cp:lastModifiedBy>muhammadjon nosirov</cp:lastModifiedBy>
  <cp:lastPrinted>2026-03-05T11:33:17Z</cp:lastPrinted>
  <dcterms:created xsi:type="dcterms:W3CDTF">1996-12-17T01:32:00Z</dcterms:created>
  <dcterms:modified xsi:type="dcterms:W3CDTF">2026-08-16T16:01:17Z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E2B882795A2D4B848EB97B49CBDC7117_13</vt:lpwstr>
  </property>
  <property fmtid="{D5CDD505-2E9C-101B-9397-08002B2CF9AE}" pid="4" name="KSOReadingLayout">
    <vt:bool>true</vt:bool>
  </property>
</Properties>
</file>